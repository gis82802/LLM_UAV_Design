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sai0\Downloads\"/>
    </mc:Choice>
  </mc:AlternateContent>
  <xr:revisionPtr revIDLastSave="0" documentId="8_{D8B95D3E-579F-42EB-BFBD-EA194441811D}" xr6:coauthVersionLast="47" xr6:coauthVersionMax="47" xr10:uidLastSave="{00000000-0000-0000-0000-000000000000}"/>
  <bookViews>
    <workbookView xWindow="-110" yWindow="-110" windowWidth="19200" windowHeight="9980" xr2:uid="{B9381B87-F010-4A2F-AC36-4680A5CCCB89}"/>
  </bookViews>
  <sheets>
    <sheet name="llama3.1 8B instruct  fp16" sheetId="1" r:id="rId1"/>
    <sheet name="llama3.3 70B Q6" sheetId="3" r:id="rId2"/>
    <sheet name="llama4 109B Q4"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2" l="1" a="1"/>
  <c r="A52" i="2" s="1"/>
  <c r="A61" i="2" a="1"/>
  <c r="A61" i="2"/>
  <c r="A62" i="2" a="1"/>
  <c r="A62" i="2" s="1"/>
  <c r="A108" i="2" a="1"/>
  <c r="A108" i="2" s="1"/>
  <c r="A20" i="1" a="1"/>
  <c r="A20" i="1" s="1"/>
  <c r="A21" i="1" a="1"/>
  <c r="A21" i="1" s="1"/>
  <c r="A25" i="1" a="1"/>
  <c r="A25" i="1" s="1"/>
  <c r="A26" i="1" a="1"/>
  <c r="A26" i="1" s="1"/>
  <c r="A33" i="1" a="1"/>
  <c r="A33" i="1" s="1"/>
  <c r="A34" i="1" a="1"/>
  <c r="A34" i="1" s="1"/>
  <c r="A38" i="1" a="1"/>
  <c r="A38" i="1" s="1"/>
  <c r="A39" i="1" a="1"/>
  <c r="A39" i="1" s="1"/>
  <c r="A46" i="1" a="1"/>
  <c r="A46" i="1" s="1"/>
  <c r="A47" i="1" a="1"/>
  <c r="A47" i="1" s="1"/>
  <c r="A51" i="1" a="1"/>
  <c r="A51" i="1" s="1"/>
  <c r="A52" i="1" a="1"/>
  <c r="A5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<sst xmlns="http://schemas.openxmlformats.org/spreadsheetml/2006/main" count="407" uniqueCount="336">
  <si>
    <t>llama3.1 instruct 8B fp16</t>
    <phoneticPr fontId="1" type="noConversion"/>
  </si>
  <si>
    <t>GPU使用率:14GB</t>
    <phoneticPr fontId="1" type="noConversion"/>
  </si>
  <si>
    <t>情境:</t>
    <phoneticPr fontId="1" type="noConversion"/>
  </si>
  <si>
    <t>### 適用條件</t>
  </si>
  <si>
    <t>### 建議型號一：T-Motor U15</t>
  </si>
  <si>
    <t>類型：無刷馬達</t>
  </si>
  <si>
    <t>工作溫度範圍：-25°C至60°C（符合任務環境）</t>
  </si>
  <si>
    <t>主要性能指標：</t>
  </si>
  <si>
    <t>重量：1600g</t>
  </si>
  <si>
    <t>優點：</t>
  </si>
  <si>
    <t>### 建議型號二：PlanePower FWP-4250</t>
  </si>
  <si>
    <t>工作溫度範圍：-20°C至50°C（符合任務環境）</t>
  </si>
  <si>
    <t>重量：85g</t>
  </si>
  <si>
    <t>### 建議挑選依據</t>
  </si>
  <si>
    <t>類型：多光譜相機</t>
  </si>
  <si>
    <t>工作溫度範圍：0°C至40°C（符合任務環境）</t>
  </si>
  <si>
    <t>重量：350克</t>
  </si>
  <si>
    <t>### 建議型號一：MFE Fighter VTOL</t>
  </si>
  <si>
    <t>重量：2750g</t>
  </si>
  <si>
    <t>### 建議型號二：Lumenier QAV-S 5"</t>
  </si>
  <si>
    <t>### 建議型號三：SonicModell AR Wing Pro</t>
  </si>
  <si>
    <t>重量：450g</t>
  </si>
  <si>
    <t>輸入任務：「港區巡邏偵察路徑 + 夜間偷渡船舶辨識」</t>
  </si>
  <si>
    <t>限制條件：「長航時、低光環境、即時傳輸」</t>
  </si>
  <si>
    <t>系統（LLM）回應：</t>
  </si>
  <si>
    <t>建議聚焦以下模組設計重點：</t>
  </si>
  <si>
    <t>推進與能源模組：高效電池、長航時能量儲存</t>
  </si>
  <si>
    <t>感測與資料鏈模組：夜視/紅外相機、低光環境穩定傳輸</t>
  </si>
  <si>
    <t>結構與機體模組：抗鹽霧腐蝕材料、高強度輕質結構</t>
  </si>
  <si>
    <t>根據提供的參考資料，我們找不到任何直接相關的夜間低光模組推薦資訊。</t>
  </si>
  <si>
    <t>根據提供的參考資料，我們找到了以下幾個與任務需求相關的元件：</t>
  </si>
  <si>
    <t>建議型號一：MicaSense RedEdge-P</t>
  </si>
  <si>
    <t>適合應用：精準農業、夜間飛行等環境下使用</t>
  </si>
  <si>
    <t>資料來源：參考資料中的MicaSense RedEdge-P元件</t>
  </si>
  <si>
    <t>建議型號二：Matrix 4-in-1 50A電調</t>
  </si>
  <si>
    <t>類型：四合一電調</t>
  </si>
  <si>
    <t>工作溫度範圍：-10°C至80°C（符合任務環境）</t>
  </si>
  <si>
    <t>重量：16克</t>
  </si>
  <si>
    <t>適合應用：夜間飛行、精確控制等環境下使用</t>
  </si>
  <si>
    <t>資料來源：參考資料中的Matrix 4-in-1 50A電調元件</t>
  </si>
  <si>
    <t>建議型號三：Cleanflight軟體</t>
  </si>
  <si>
    <t>類型：無刷馬達控制軟體</t>
  </si>
  <si>
    <t>工作溫度範圍：不適用（為軟體）</t>
  </si>
  <si>
    <t>重量：0克（為軟體）</t>
  </si>
  <si>
    <t>資料來源：參考資料中的Cleanflight軟體元件</t>
  </si>
  <si>
    <t>建議挑選依據：</t>
  </si>
  <si>
    <t>根據任務需求，我們建議使用MicaSense RedEdge-P多光譜相機。這是因為它提供高品質的多光譜影像，支援精確的NDVI植被指數計算，並且適合夜間飛行和精準農業等環境下使用。</t>
  </si>
  <si>
    <t>Matrix 4-in-1 50A電調是一個可靠的選擇，但它主要是用於電力管理，而不是直接與任務需求相關。Cleanflight軟體則是為無刷馬達控制提供高效率的電力管理和穩定控制，但它不適用於夜間飛行或精確控制等環境下使用。</t>
  </si>
  <si>
    <t>因此，我們建議使用MicaSense RedEdge-P多光譜相機作為首選。</t>
  </si>
  <si>
    <t>夜間任務有哪些低光模組推薦？</t>
    <phoneticPr fontId="1" type="noConversion"/>
  </si>
  <si>
    <t>有哪些馬達型號具備優異的效率 (g/W 推力重量比)，適合長時間定速巡航，以最大化飛行續航？</t>
    <phoneticPr fontId="1" type="noConversion"/>
  </si>
  <si>
    <t>根據提供的參考資料，我們找到了符合需求的馬達型號：</t>
  </si>
  <si>
    <t>### 建議型號一：U-Power U15</t>
  </si>
  <si>
    <t>適合應用：工業級馬達，適用於農業植保、物流運輸等重載應用</t>
  </si>
  <si>
    <t>*   高可靠性設計</t>
  </si>
  <si>
    <t>資料來源：參考資料中的「motor-mr-u15-100」項目</t>
  </si>
  <si>
    <t>### 建議型號二：SkyLift SL-3510</t>
  </si>
  <si>
    <t>*   推力重量比：適合中型多旋翼無人機的穩定懸停動力需求</t>
  </si>
  <si>
    <t>資料來源：參考資料中的「motor-mr-3510-700」項目</t>
  </si>
  <si>
    <t>### 建議型號三：JetStream DF70</t>
  </si>
  <si>
    <t>重量：350g</t>
  </si>
  <si>
    <t>資料來源：參考資料中的「motor-df-70mm-12b」項目</t>
  </si>
  <si>
    <t>有哪些無人機機架設計，特別針對長航時任務進行了氣動優化，能夠有效降低飛行阻力？</t>
  </si>
  <si>
    <t>GPU使用率:54GB</t>
    <phoneticPr fontId="1" type="noConversion"/>
  </si>
  <si>
    <t>建議型號一：RunCam Phoenix 2</t>
  </si>
  <si>
    <t>重量：9.0克</t>
  </si>
  <si>
    <t>資料來源：參考資料中的"cam-fpv-runcam-phoenix2"</t>
  </si>
  <si>
    <t>重量：110.0克</t>
  </si>
  <si>
    <t>資料來源：參考資料中的"cam-thermal-flir-vue-pro"</t>
  </si>
  <si>
    <t>建議型號一：U-Power U15</t>
  </si>
  <si>
    <t>重量：1600.0 g</t>
  </si>
  <si>
    <t>資料來源：T-Motor 官方網站</t>
  </si>
  <si>
    <t>建議型號二：FixedWing Pro FWP-4250</t>
  </si>
  <si>
    <t>重量：155.0 g</t>
  </si>
  <si>
    <t>* 高扭矩輸出</t>
  </si>
  <si>
    <t>資料來源：PlanePower 官方網站</t>
  </si>
  <si>
    <t>建議型號三：SkyLift SL-3510</t>
  </si>
  <si>
    <t>重量：85.0 g</t>
  </si>
  <si>
    <t>* 穩定的懸停動力</t>
  </si>
  <si>
    <t>資料來源：AeroDynamics 官方網站</t>
  </si>
  <si>
    <t>類型：VTOL無人機機架</t>
  </si>
  <si>
    <t>* 提供組裝和飛控設定教學支援</t>
  </si>
  <si>
    <t>類型：固定翼無人機機架</t>
  </si>
  <si>
    <t>* 採用高密度EPP泡沫製成，耐用且易於修復</t>
  </si>
  <si>
    <t>* 可拆卸機翼設計便於攜帶</t>
  </si>
  <si>
    <t>llama3.3 70B Q6</t>
    <phoneticPr fontId="1" type="noConversion"/>
  </si>
  <si>
    <t>llama4 109B Q4</t>
    <phoneticPr fontId="1" type="noConversion"/>
  </si>
  <si>
    <t>GPU使用率:62.3GB</t>
    <phoneticPr fontId="1" type="noConversion"/>
  </si>
  <si>
    <t>推進與能源模組：長航時電源供應、靜音推進系統</t>
  </si>
  <si>
    <t>感測與資料鏈模組：低光環境感知技術、即時資料傳輸加密</t>
  </si>
  <si>
    <t>結構與機體模組：隱身設計、抗水耐候機體結構</t>
  </si>
  <si>
    <t>## 夜間任務低光模組推薦</t>
  </si>
  <si>
    <t>任務需求：夜間任務需要低光環境下表現良好的模組。</t>
  </si>
  <si>
    <t>參考資料中與低光環境相關的模組有：</t>
  </si>
  <si>
    <t>1. **攝像機模組**：</t>
  </si>
  <si>
    <t xml:space="preserve">   - 型號：RunCam Phoenix 2</t>
  </si>
  <si>
    <t xml:space="preserve">   - 類型：FPV 攝像機</t>
  </si>
  <si>
    <t xml:space="preserve">   - 工作溫度範圍：-10°C 至 55°C</t>
  </si>
  <si>
    <t xml:space="preserve">   - 主要性能指標：低光環境下的成像能力，分辨率 1000 TVL</t>
  </si>
  <si>
    <t xml:space="preserve">   - 重量：9 克</t>
  </si>
  <si>
    <t xml:space="preserve">   - 適合應用：夜間飛行任務中的低光環境監視</t>
  </si>
  <si>
    <t xml:space="preserve">   - 優點：專為低光環境設計，成像清晰</t>
  </si>
  <si>
    <t xml:space="preserve">   - 資料來源：參考資料 - RunCam Phoenix 2</t>
  </si>
  <si>
    <t>2. **多光譜攝像機**：</t>
  </si>
  <si>
    <t xml:space="preserve">   - 型號：MicaSense RedEdge-P</t>
  </si>
  <si>
    <t xml:space="preserve">   - 類型：多光譜攝像機</t>
  </si>
  <si>
    <t xml:space="preserve">   - 工作溫度範圍：0°C 至 40°C</t>
  </si>
  <si>
    <t xml:space="preserve">   - 主要性能指標：高解析度多光譜成像，適用於植被監測等</t>
  </si>
  <si>
    <t xml:space="preserve">   - 重量：350 克</t>
  </si>
  <si>
    <t xml:space="preserve">   - 適合應用：需要多光譜數據的夜間任務</t>
  </si>
  <si>
    <t xml:space="preserve">   - 優點：提供高質量的多光譜數據</t>
  </si>
  <si>
    <t xml:space="preserve">   - 資料來源：參考資料 - MicaSense RedEdge-P</t>
  </si>
  <si>
    <t>3. **無線傳輸模組（非攝像機，但可能用於低光環境任務）**：</t>
  </si>
  <si>
    <t xml:space="preserve">   - 型號：未直接提供，但可考慮使用抗低光環境的無線傳輸技術</t>
  </si>
  <si>
    <t xml:space="preserve">   - 類型：無線傳輸模組</t>
  </si>
  <si>
    <t xml:space="preserve">   - 工作溫度範圍：通常根據具體產品有所不同</t>
  </si>
  <si>
    <t xml:space="preserve">   - 主要性能指標：穩定傳輸數據</t>
  </si>
  <si>
    <t xml:space="preserve">   - 重量：根據具體產品有所不同</t>
  </si>
  <si>
    <t xml:space="preserve">   - 適合應用：需要穩定無線傳輸的任務</t>
  </si>
  <si>
    <t xml:space="preserve">   - 優點：提供穩定的數據傳輸</t>
  </si>
  <si>
    <t xml:space="preserve">   - 資料來源：未直接提供，需根據具體產品參考資料</t>
  </si>
  <si>
    <t>## 建議挑選依據</t>
  </si>
  <si>
    <t>- **RunCam Phoenix 2**：適合需要低光環境下清晰成像的任務，重量輕，性能穩定。</t>
  </si>
  <si>
    <t>- **MicaSense RedEdge-P**：適合需要多光譜數據的任務，提供高質量的數據，但重量較大。</t>
  </si>
  <si>
    <t>此推薦基於提供的參考資料，如需更多詳細信息，請進一步查詢相關資料。</t>
  </si>
  <si>
    <t>## 背景任務摘要</t>
  </si>
  <si>
    <t>任務需求是找到適合長時間定速巡航的馬達型號，重點在於效率（推力重量比）和適合長時間運作的特性。</t>
  </si>
  <si>
    <t>## 任務限制條件</t>
  </si>
  <si>
    <t>## 推薦型號</t>
  </si>
  <si>
    <t>- **類型**：無刷馬達</t>
  </si>
  <si>
    <t>- **工作溫度範圍**：-25°C 至 60°C</t>
  </si>
  <si>
    <t>- **主要性能指標**：</t>
  </si>
  <si>
    <t xml:space="preserve">  - 推力重量比：高</t>
  </si>
  <si>
    <t xml:space="preserve">  - 效率：高</t>
  </si>
  <si>
    <t>- **重量**：1600g</t>
  </si>
  <si>
    <t>- **適合應用**：長時間定速巡航，適合需要高效率和穩定輸出的任務</t>
  </si>
  <si>
    <t>- **優點**：</t>
  </si>
  <si>
    <t xml:space="preserve">  - 高推力重量比</t>
  </si>
  <si>
    <t xml:space="preserve">  - 適合長時間運作</t>
  </si>
  <si>
    <t xml:space="preserve">  - 具有良好的環境適應性</t>
  </si>
  <si>
    <t>- **資料來源**：參考 T-Motor 官方資料</t>
  </si>
  <si>
    <t>- **工作溫度範圍**：-15°C 至 55°C</t>
  </si>
  <si>
    <t>- **重量**：155g</t>
  </si>
  <si>
    <t>- **適合應用**：需要高效和穩定輸出的長時間飛行任務</t>
  </si>
  <si>
    <t xml:space="preserve">  - 輕量化設計</t>
  </si>
  <si>
    <t xml:space="preserve">  - 高效率</t>
  </si>
  <si>
    <t>- **資料來源**：參考 PlanePower 官方資料</t>
  </si>
  <si>
    <t>### 建議型號三：FPVTech MR-2207</t>
  </si>
  <si>
    <t>- **工作溫度範圍**：-10°C 至 60°C</t>
  </si>
  <si>
    <t>- **重量**：32g</t>
  </si>
  <si>
    <t xml:space="preserve">  - 高推重比</t>
  </si>
  <si>
    <t xml:space="preserve">  - 較輕的重量</t>
  </si>
  <si>
    <t>- **資料來源**：參考 FPVTech 官方資料</t>
  </si>
  <si>
    <t>- PlanePower FWP-4250 適合需要輕量化設計和高效率的任務。</t>
  </si>
  <si>
    <t>- FPVTech MR-2207 適合需要高推重比和輕量化的任務。</t>
  </si>
  <si>
    <t>綜合考慮任務需求，T-Motor U15 在效率和穩定性方面表現優異，適合長時間定速巡航任務。</t>
  </si>
  <si>
    <t>根据任务需求和提供的参考资料，我推荐以下适合长航时无人机任务的机架设计：</t>
  </si>
  <si>
    <t>### 推荐一：SonicModell AR Wing Pro</t>
  </si>
  <si>
    <t>- **类型**：固定翼无人机机架</t>
  </si>
  <si>
    <t>- **工作温度范围**：-10°C 至 50°C</t>
  </si>
  <si>
    <t>- **主要性能指标**：</t>
  </si>
  <si>
    <t xml:space="preserve">  - **重量**：450克</t>
  </si>
  <si>
    <t xml:space="preserve">  - **翼展**：1000毫米</t>
  </si>
  <si>
    <t xml:space="preserve">  - **材质**：高密度EPP泡沫</t>
  </si>
  <si>
    <t>- **适合应用**：长航时巡逻、测绘、航拍</t>
  </si>
  <si>
    <t>- **优点**：</t>
  </si>
  <si>
    <t xml:space="preserve">  - 高密度EPP泡沫材质，耐用且易于修复</t>
  </si>
  <si>
    <t xml:space="preserve">  - 可拆卸机翼设计，便于运输和存储</t>
  </si>
  <si>
    <t xml:space="preserve">  - 适合FPV飞行和长距离任务</t>
  </si>
  <si>
    <t>- **资料来源**：SonicModell官网及产品资料</t>
  </si>
  <si>
    <t>### 推荐二：MFE Fighter VTOL</t>
  </si>
  <si>
    <t>- **类型**：VTOL（垂直起降）无人机机架</t>
  </si>
  <si>
    <t>- **工作温度范围**：-15°C 至 55°C</t>
  </si>
  <si>
    <t xml:space="preserve">  - **重量**：2750克</t>
  </si>
  <si>
    <t xml:space="preserve">  - **翼展**：2430毫米</t>
  </si>
  <si>
    <t xml:space="preserve">  - **材质**：复合材料（玻璃纤维/凯夫拉）</t>
  </si>
  <si>
    <t>- **适合应用**：长航时任务、测绘、巡逻</t>
  </si>
  <si>
    <t xml:space="preserve">  - 结合了固定翼和多旋翼的优势</t>
  </si>
  <si>
    <t xml:space="preserve">  - 可以垂直起降和水平飞行</t>
  </si>
  <si>
    <t xml:space="preserve">  - 适合长航时和高海拔任务</t>
  </si>
  <si>
    <t>- **资料来源**：MFE官网及产品资料</t>
  </si>
  <si>
    <t>### 推荐三：Lumenier QAV-S 5"</t>
  </si>
  <si>
    <t>- **类型**：FPV无人机机架</t>
  </si>
  <si>
    <t>- **工作温度范围**：-20°C 至 100°C</t>
  </si>
  <si>
    <t xml:space="preserve">  - **重量**：129克</t>
  </si>
  <si>
    <t xml:space="preserve">  - **翼展**：-</t>
  </si>
  <si>
    <t xml:space="preserve">  - **材质**：碳纤维</t>
  </si>
  <si>
    <t>- **适合应用**：FPV飞行、竞速、航拍</t>
  </si>
  <si>
    <t xml:space="preserve">  - 轻量化设计</t>
  </si>
  <si>
    <t xml:space="preserve">  - 高强度碳纤维材质</t>
  </si>
  <si>
    <t xml:space="preserve">  - 适合FPV竞速和航拍任务</t>
  </si>
  <si>
    <t>- **资料来源**：Lumenier官网及产品资料</t>
  </si>
  <si>
    <t>### 总结与建议</t>
  </si>
  <si>
    <t>以上推荐的三种机架设计各有其优缺点，适用于不同的任务需求和环境。SonicModell AR Wing Pro适合需要长航时和稳定飞行的任务，MFE Fighter VTOL适合需要垂直起降和长航时能力的任务，</t>
    <phoneticPr fontId="1" type="noConversion"/>
  </si>
  <si>
    <t>而Lumenier QAV-S 5"则适合需要轻量化、高灵活性的FPV飞行任务。在选择时，应根据具体任务需求（如航程、载重、飞行稳定性等）进行权衡和选择。</t>
  </si>
  <si>
    <t>推進與能源模組：長航時能量儲存、低噪音電動馬達</t>
  </si>
  <si>
    <t>感測與資料鏈模組：夜間視覺感測器、即時影像傳輸技術</t>
  </si>
  <si>
    <t>結構與機體模組：抗風荷載設計、水下偵察能力</t>
  </si>
  <si>
    <t>本次任務主要關注長時間定速巡航的續航能力，因此我們將著重於推力重量比（g/W）的高效率馬達。</t>
  </si>
  <si>
    <t>類型：無刷DC馬達</t>
  </si>
  <si>
    <t>*   推力重量比：高效能設計，適合長時間定速巡航</t>
  </si>
  <si>
    <t>*   最大輸出功率：6000W</t>
  </si>
  <si>
    <t>*   支援長時間連續工作</t>
  </si>
  <si>
    <t>*   最大輸出功率：450W</t>
  </si>
  <si>
    <t>適合應用：適用於中型多旋翼無人機，提供穩定的懸停動力</t>
  </si>
  <si>
    <t>*   穩定性高</t>
  </si>
  <si>
    <t>*   支援低噪音設計</t>
  </si>
  <si>
    <t>類型：導流風扇（EDF）</t>
  </si>
  <si>
    <t>工作溫度範圍：-10°C至45°C（不完全符合任務環境，但仍可考慮）</t>
  </si>
  <si>
    <t>*   最大輸出功率：1800W</t>
  </si>
  <si>
    <t>適合應用：整合式設計，適用於需要高流速氣流的特殊應用，如VTOL或模型噴氣機</t>
  </si>
  <si>
    <t>*   高效能設計</t>
  </si>
  <si>
    <t>根據任務需求，我們建議使用 U-Power U15 馬達。它的高推力重量比和可靠性設計使其適合長時間定速巡航的續航能力要求。雖然 SkyLift SL-3510 和 JetStream DF70 也具有優點，但 U-Power U15 的效能更符合任務需求。</t>
  </si>
  <si>
    <t>若存在明顯不適合的元件，亦請簡要說明為何不建議使用：根據提供的參考資料，我們找到了符合需求的馬達型號。</t>
  </si>
  <si>
    <t>根據提供的參考資料，我們找到了符合長航時氣動優化無人機機架設計需求的幾個型號。</t>
  </si>
  <si>
    <t>本次任務主要關注長航時任務，特別是氣動優化以降低飛行阻力。因此，所推薦的元件類別將著重於能夠提供最佳氣動效率和穩定性的設計。</t>
  </si>
  <si>
    <t>類型：VTOL_fixed_wing</t>
  </si>
  <si>
    <t>工作溫度範圍：[-15, 55]℃（符合任務環境）</t>
  </si>
  <si>
    <t>- 長航時能力：11.0 kg 的最大起飛重量，適合長時間的巡檢任務。</t>
  </si>
  <si>
    <t>重量：2750.0 g</t>
  </si>
  <si>
    <t>適合應用：MFE Fighter VTOL 這款機架特別針對長航時任務進行了氣動優化，能夠有效降低飛行阻力，是一個理想的選擇。</t>
  </si>
  <si>
    <t>資料來源：參考資料中的 "MFE Fighter VTOL" 資料</t>
  </si>
  <si>
    <t>類型：main_frame_arms</t>
  </si>
  <si>
    <t>工作溫度範圍：[-20, 100]℃（符合任務環境）</t>
  </si>
  <si>
    <t>重量：129.0 g</t>
  </si>
  <si>
    <t>適合應用：Lumenier QAV-S 5" 這款機架特別針對花式飛行設計，結構堅固且易於維護，是一個理想的選擇。</t>
  </si>
  <si>
    <t>資料來源：參考資料中的 "Lumenier QAV-S 5" 資料</t>
  </si>
  <si>
    <t>類型：fixed_wing</t>
  </si>
  <si>
    <t>工作溫度範圍：[-10, 50]℃（不完全符合任務環境）</t>
  </si>
  <si>
    <t>重量：450.0 g</t>
  </si>
  <si>
    <t>適合應用：SonicModell AR Wing Pro 這款機架特別針對FPV穿越和長距離飛行設計，耐用且易於修復，是一個理想的選擇。</t>
  </si>
  <si>
    <t>資料來源：參考資料中的 "SonicModell AR Wing Pro" 資料</t>
  </si>
  <si>
    <t>根據上述分析，MFE Fighter VTOL 和 Lumenier QAV-S 5" 這兩款機架都能夠有效降低飛行阻力，並且符合長航時任務的需求。然而，由於 MFE Fighter VTOL 的重量較大和氣動效率高，因此更適合長時間的巡檢任務。而 Lumenier QAV-S 5" 的結構堅固性和飛行手感良好，使得它更適合花式飛行。最後，SonicModell AR Wing Pro 這款機架雖然耐用且易於修復，但工作溫度範圍不完全符合任務環境，因此不建議使用。</t>
  </si>
  <si>
    <t>因此，我們的最終建議是：根據長航時任務和氣動優化需求，MFE Fighter VTOL 和 Lumenier QAV-S 5" 這兩款機架都是理想的選擇。</t>
  </si>
  <si>
    <t>氣動效率:設計結合了多旋翼和固定翼的優點,能夠在起降和巡航過程中保持最佳氣動效率。</t>
    <phoneticPr fontId="1" type="noConversion"/>
  </si>
  <si>
    <t>長航時能力強</t>
    <phoneticPr fontId="1" type="noConversion"/>
  </si>
  <si>
    <t>氣動效率高</t>
    <phoneticPr fontId="1" type="noConversion"/>
  </si>
  <si>
    <t>結構堅固性:設計為花式飛行,結構堅固且易於維護。</t>
    <phoneticPr fontId="1" type="noConversion"/>
  </si>
  <si>
    <t>飛行手感:提供良好的飛行手感,適合長時間的飛行。</t>
    <phoneticPr fontId="1" type="noConversion"/>
  </si>
  <si>
    <t>結構堅固</t>
    <phoneticPr fontId="1" type="noConversion"/>
  </si>
  <si>
    <t>飛行手感良好</t>
    <phoneticPr fontId="1" type="noConversion"/>
  </si>
  <si>
    <t>耐用性:採用高密度EPP泡沫製成,耐用且易於修復。</t>
    <phoneticPr fontId="1" type="noConversion"/>
  </si>
  <si>
    <t>適合應用:可拆卸機翼設計便於攜帶,適合FPV穿越和長距離飛行。</t>
    <phoneticPr fontId="1" type="noConversion"/>
  </si>
  <si>
    <t>耐用性高</t>
    <phoneticPr fontId="1" type="noConversion"/>
  </si>
  <si>
    <t>適合應用廣泛</t>
    <phoneticPr fontId="1" type="noConversion"/>
  </si>
  <si>
    <t>推進與能源模組：長航時電池、節能推進</t>
  </si>
  <si>
    <t>感測與資料鏈模組：低光夜視、即時傳輸</t>
  </si>
  <si>
    <t>結構與機體模組：耐候材料、穩定性設計</t>
  </si>
  <si>
    <t>推薦低光模組型號（夜間任務）</t>
  </si>
  <si>
    <t>適用條件：本次任務需要在夜間進行，對低光照下的攝影和感測能力有嚴格要求。因此，選擇的元件必須能夠在低光環境下提供清晰的視覺或感測數據。</t>
  </si>
  <si>
    <t>類型：FPV攝像頭</t>
  </si>
  <si>
    <t>工作溫度範圍：-10°C至55°C（符合夜間任務的溫度需求）</t>
  </si>
  <si>
    <t>主要性能指標：低光照表現優異，60fps的幀率</t>
  </si>
  <si>
    <t>適合應用：晨昏飛行和夜間FPV任務</t>
  </si>
  <si>
    <t>* 低光照條件下仍能提供清晰視覺</t>
  </si>
  <si>
    <t>* 輕便，適用於無人機載荷</t>
  </si>
  <si>
    <t>建議型號二：FLIR Vue Pro R</t>
  </si>
  <si>
    <t>類型：紅外熱成像攝像頭</t>
  </si>
  <si>
    <t>工作溫度範圍：-20°C至50°C（符合夜間任務的溫度需求）</t>
  </si>
  <si>
    <t>主要性能指標：提供每個像素點的精確溫度數據，適用於搜救和農業分析等任務</t>
  </si>
  <si>
    <t>適合應用：夜間搜救、太陽能板檢測、農業分析等需要熱成像的任務</t>
  </si>
  <si>
    <t>* 能夠在完全黑暗中提供溫度數據</t>
  </si>
  <si>
    <t>* 高精度的紅外成像技術</t>
  </si>
  <si>
    <t>建議挑選依據：這兩個建議型號都能夠滿足夜間任務的需求，但它們的應用場景不同。RunCam Phoenix 2更適合需要低光照視覺的FPV飛行任務</t>
    <phoneticPr fontId="1" type="noConversion"/>
  </si>
  <si>
    <t>，而FLIR Vue Pro R則適用於需要紅外熱成像的搜救、農業分析等任務。根據具體的任務需求選擇最合適的元件。</t>
  </si>
  <si>
    <t>推薦馬達型號（依據長時間定速巡航需求）</t>
  </si>
  <si>
    <t>適用條件：本次任務重點在於長時間定速巡航，以最大化飛行續航，因此需要考慮海拔高度、氣溫範圍、滯空時間等因素。根據背景任務摘要，推進與能源模組的設計應著重於長航時電池和節能推進。</t>
  </si>
  <si>
    <t>工作溫度範圍：-25°C至60°C（符合一般飛行環境）</t>
  </si>
  <si>
    <t>主要性能指標：高可靠性、rated_power_w 6000 W</t>
  </si>
  <si>
    <t>適合應用：工業級農業植保、物流運輸等重載應用，具備高可靠性和長續航能力</t>
  </si>
  <si>
    <t>* 高可靠性設計</t>
  </si>
  <si>
    <t>* 長續航時間</t>
  </si>
  <si>
    <t>* 支援高負荷作業</t>
  </si>
  <si>
    <t>工作溫度範圍：-15°C至55°C（基本符合一般飛行環境）</t>
  </si>
  <si>
    <t>主要性能指標：高扭矩輸出、rated_power_w 900 W</t>
  </si>
  <si>
    <t>適合應用：中大型固定翼無人機的牽引式或推進式佈局，提供穩定的懸停動力</t>
  </si>
  <si>
    <t>* 輕量化設計</t>
  </si>
  <si>
    <t>* 適合固定翼飛行需求</t>
  </si>
  <si>
    <t>工作溫度範圍：-20°C至50°C（符合一般飛行環境）</t>
  </si>
  <si>
    <t>主要性能指標：穩定的懸停動力、rated_power_w 450 W</t>
  </si>
  <si>
    <t>適合應用：中型多旋翼無人機，提供穩定的懸停動力和長續航能力</t>
  </si>
  <si>
    <t>* 適合多旋翼飛行需求</t>
  </si>
  <si>
    <t>建議挑選依據：三個建議型號各有其優缺點，U-Power U15 適合重載和長續航需求，但重量較大；FixedWing Pro FWP-4250 輕量且高扭矩輸出，適合固定翼飛行；SkyLift SL-3510 輕量且穩定，</t>
    <phoneticPr fontId="1" type="noConversion"/>
  </si>
  <si>
    <t>適合多旋翼飛行。根據任務情境和需求，可以選擇最適合的馬達型號。若需要長續航和高可靠性，U-Power U15 可能是最佳選擇；若優先考慮輕量化和固定翼飛行，FixedWing Pro FWP-4250 可能更適合；</t>
    <phoneticPr fontId="1" type="noConversion"/>
  </si>
  <si>
    <t>若注重多旋翼飛行的穩定性，SkyLift SL-3510 是一個不錯的選擇。</t>
  </si>
  <si>
    <t>推薦無人機機架設計型號（依據長航時任務需求）</t>
  </si>
  <si>
    <t>適用條件：本次任務重點在於長航時任務，因此需要考慮氣動優化、結構耐久性以及能夠有效降低飛行阻力的設計。同時，需要考慮到滯空時間、酬載能力等因素。</t>
  </si>
  <si>
    <t>建議型號一：SonicModell AR Wing Pro</t>
  </si>
  <si>
    <t>工作溫度範圍：-10°C至50°C（符合一般長航時任務的氣溫需求）</t>
  </si>
  <si>
    <t>主要性能指標：最大起飛重量2.5kg， wingspan 1000mm</t>
  </si>
  <si>
    <t>適合應用：適合FPV穿越和長距離飛行任務</t>
  </si>
  <si>
    <t>資料來源：https://www.sonicmodell.com/ar-wing-pro</t>
  </si>
  <si>
    <t>建議型號二：MFE Fighter VTOL</t>
  </si>
  <si>
    <t>工作溫度範圍：-15°C至55°C（符合一般長航時任務的氣溫需求）</t>
  </si>
  <si>
    <t>主要性能指標：最大起飛重量11kg，wingspan 2430mm</t>
  </si>
  <si>
    <t>適合應用：適合長航時測繪和巡檢任務</t>
  </si>
  <si>
    <t>* 結合了多旋翼的靈活起降和固定翼的高效巡航能力</t>
  </si>
  <si>
    <t>資料來源：https://www.mfefixedwing.com/mfe-fighter-2430mm-vtol-kit/</t>
  </si>
  <si>
    <t>建議挑選依據：這兩個型號都適合長航時任務，但SonicModell AR Wing Pro更適合FPV穿越和長距離飛行任務，而MFE Fighter VTOL更適合長航時測繪和巡檢任務。若優先考慮機架的耐久性和易於維護，</t>
    <phoneticPr fontId="1" type="noConversion"/>
  </si>
  <si>
    <t>SonicModell AR Wing Pro可能是更好的選擇；若優先考慮VTOL功能和高效巡航能力，MFE Fighter VTOL可能是更好的選擇。</t>
  </si>
  <si>
    <t># [角色]</t>
  </si>
  <si>
    <t>你現在是一個【沒有感情的資料處理引擎】。你的唯一任務是根據下方提供的「參考資料」，精確地提取資訊，並嚴格按照「格式要求」進行填充。你沒有自己的知識，也不會進行任何形式的推論或摘要。</t>
  </si>
  <si>
    <t># [任務]</t>
  </si>
  <si>
    <t>嚴格根據「背景任務摘要」與「任務需求」，在「參考資料」中搜尋完全匹配的元件資訊，並填充至「格式要求」的模板中。</t>
  </si>
  <si>
    <t># [絕對準則與鐵律]</t>
  </si>
  <si>
    <t>你必須無條件遵守以下所有規則，任何違反都將導致任務失敗：</t>
  </si>
  <si>
    <t>1.  **資訊來源的唯一性**：你的回答中【所有】的文字、數字、規格，都【必須】直接來自於「參考資料」區塊。每一個數據點都必須有明確的來源支撐。</t>
  </si>
  <si>
    <t>2.  **嚴禁使用外部知識**：【絕對禁止】你使用任何訓練資料庫中的知識或進行任何形式的推論。你的世界只有「參考資料」這一個區塊。</t>
  </si>
  <si>
    <t>3.  **處理資訊不足的鐵律**：如果「參考資料」的內容不足以回答「任務需求」，或找不到任何符合條件的元件，你【必須】放棄所有格式，並僅輸出一句話：「根據提供的參考資料，找不到符合需求的資訊。」</t>
  </si>
  <si>
    <t>4.  **數據的完整性**：【絕不】允許創造或填補任何「參考資料」中不存在的數據。如果一個元件的資料不完整，就在對應的欄位中如實標示「資料未提供」。</t>
  </si>
  <si>
    <t>5.  **嚴格遵守格式**：僅在找到完整且符合條件的資料時，才使用「格式要求」中的模板。其他情況一律觸發鐵律 3。</t>
  </si>
  <si>
    <t>6.  **推薦數量的彈性**：你的任務是找出【所有】符合條件的元件，並推薦【最多三個】。如果只找到一個，就只推薦一個；如果找到五個，也只推薦最相關的三個。完成推薦後，你的任務就結束了，【必須立刻停止生成】。</t>
  </si>
  <si>
    <t>7.  **語言與專有名詞**：所有輸出都【必須】使用繁體中文（台灣用語）。唯一的例外是專有名詞、品牌或型號，這些應保持原文（例如 "LongRanger 18650 Pack", "Pydantic"）。</t>
  </si>
  <si>
    <t>8.  **禁止額外內容**：不可添加任何開場白、摘要、註解、客套話或結尾語。</t>
  </si>
  <si>
    <t># [輸入資料]</t>
  </si>
  <si>
    <t>---</t>
  </si>
  <si>
    <t>### 背景任務摘要</t>
  </si>
  <si>
    <t>### 參考資料</t>
  </si>
  <si>
    <t>{"component_id": "frame-vtol-mfe-fighter", "model_name": "MFE Fighter VTOL", "type": "unibody_frame", "manufacturer": "MyFlyDream (MFE)", "weight_g": 2750.0, "dimensions_mm": null, "datasheet_url": "https://www.mfefixedwing.com/mfe-fighter-2430mm-vtol-kit/", "notes": "專為長航時測繪和巡檢任務設計的VTOL平台，結合了多旋翼的靈活起降和固定翼的高效巡航能力。", "status": "in_production", "suggested_retail_price_usd": 1299.0, "suppliers": ["MFE Direct", "Enterprise UAS"], "mtbf_hours": 1500, "after_sales_support": "提供組裝和飛控設定教學支援。", "maintenance_cycle_recommendations": "每次飛行模式轉換後檢查傾轉結構是否正常。", "environmental_adaptability": {"temperature_range_celsius": [-15, 55], "uv_resistance": "medium", "corrosion_resistance": "high", "ip_rating": "IP43", "wind_resistance_mps": [0, 12], "impact_resistance": "medium"}, "keywords": ["vtol", "mapping_drone", "long_endurance", "composite"], "drone_type": "vtol_fixed_wing", "configuration": "not_applicable", "material": "composite_glass_fiber_kevlar", "dimensions": {"wheelbase_mm": 0, "wingspan_mm": 2430, "length_width_height_mm": [1450.0, 2430.0, 360.0]}, "max_takeoff_weight_capacity_kg": 11.0}</t>
  </si>
  <si>
    <t>{"component_id": "frame-fw-sonicmodell-arwing", "model_name": "SonicModell AR Wing Pro", "type": "wings", "manufacturer": "SonicModell", "weight_g": 450.0, "dimensions_mm": null, "datasheet_url": "https://www.sonicmodell.com/ar-wing-pro", "notes": "採用高密度EPP泡沫製成，耐用且易於修復。可拆卸機翼設計便於攜帶，適合FPV穿越和長距離飛行。", "status": "in_production", "suggested_retail_price_usd": 89.99, "suppliers": ["Banggood", "GetFPV"], "mtbf_hours": 500, "after_sales_support": "提供機身、機翼等替換零件。", "maintenance_cycle_recommendations": "飛行後檢查機翼連接處卡扣是否牢固。", "environmental_adaptability": {"temperature_range_celsius": [-10, 50], "uv_resistance": "low", "corrosion_resistance": "high", "ip_rating": "IP20", "wind_resistance_mps": [0, 12], "impact_resistance": "medium"}, "keywords": ["fixed_wing", "fpv_wing", "flying_wing", "epp_foam"], "drone_type": "fixed_wing", "configuration": "not_applicable", "material": "composite_glass_fiber_kevlar", "dimensions": {"wheelbase_mm": 0, "wingspan_mm": 1000, "length_width_height_mm": [417.0, 1000.0, 150.0]}, "max_takeoff_weight_capacity_kg": 2.5}</t>
  </si>
  <si>
    <t>{"component_id": "frame-fpv-qavs-5", "model_name": "Lumenier QAV-S 5\" Freestyle", "type": "main_frame_arms", "manufacturer": "Lumenier", "weight_g": 129.0, "dimensions_mm": null, "datasheet_url": "https://www.lumenier.com/products/qav-s-5-freestyle-fpv-drone-frame", "notes": "專為花式飛行設計的框架，結構堅固且易於維護，提供良好的飛行手感。", "status": "in_production", "suggested_retail_price_usd": 74.99, "suppliers": ["GetFPV", "RaceDayQuads"], "mtbf_hours": 1000, "after_sales_support": "提供備用零件購買及組裝指南。", "maintenance_cycle_recommendations": "每次嚴重撞擊後檢查碳纖維臂是否有分層或裂紋。", "environmental_adaptability": {"temperature_range_celsius": [-20, 100], "uv_resistance": "medium", "corrosion_resistance": "high", "ip_rating": "IP20", "wind_resistance_mps": [0, 15], "impact_resistance": "high"}, "keywords": ["fpv_frame", "5_inch", "freestyle", "carbon_fiber"], "drone_type": "multi_rotor", "configuration": "x_type", "material": "carbon_fiber", "dimensions": {"wheelbase_mm": 220, "wingspan_mm": 0, "length_width_height_mm": [180.0, 145.0, 35.0]}, "max_takeoff_weight_capacity_kg": 1.5}</t>
  </si>
  <si>
    <t>### 任務需求</t>
  </si>
  <si>
    <t># [格式要求]</t>
  </si>
  <si>
    <t>推薦＜元件類別＞型號（依據任務環境與需求）</t>
  </si>
  <si>
    <t>適用條件：請根據「背景任務摘要」與「任務需求」簡要說明本次任務的重要限制條件，例如：海拔高度、氣溫範圍、滯空時間、酬載等。</t>
  </si>
  <si>
    <t>建議型號一：＜型號名稱＞</t>
  </si>
  <si>
    <t>類型：[元件技術分類，例如鋰離子電池 / 無刷馬達 / 固態電池等]</t>
  </si>
  <si>
    <t>工作溫度範圍：＜數值範圍＞（請標示是否符合任務環境）</t>
  </si>
  <si>
    <t>主要性能指標：請根據元件類別列出 1~2 項最具代表性的指標，例如能量密度、輸出功率、推力重量比、放電倍率等</t>
  </si>
  <si>
    <t>重量：＜數值與單位＞</t>
  </si>
  <si>
    <t>適合應用：請說明此元件與任務情境的匹配程度</t>
  </si>
  <si>
    <t>優點：條列明確特性，須與任務需求相符</t>
  </si>
  <si>
    <t>資料來源：請標示出資料來源（須從參考資料中提取）</t>
  </si>
  <si>
    <t>（如有第二、第三建議型號，請依相同格式繼續）</t>
  </si>
  <si>
    <t>建議挑選依據：請總結三項推薦的差異與優缺點，並依任務情境建議如何取捨。若存在明顯不適合的元件，亦請簡要說明為何不建議使用。</t>
  </si>
  <si>
    <t>INPUT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</si>
</sst>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9"/>
      <name val="新細明體"/>
      <family val="2"/>
      <charset val="136"/>
      <scheme val="minor"/>
    </font>
    <font>
      <sz val="18"/>
      <color theme="1"/>
      <name val="標楷體"/>
      <family val="4"/>
      <charset val="136"/>
    </font>
    <font>
      <b/>
      <sz val="18"/>
      <color theme="1"/>
      <name val="標楷體"/>
      <family val="4"/>
      <charset val="136"/>
    </font>
  </fonts>
  <fills count="8">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9999"/>
        <bgColor indexed="64"/>
      </patternFill>
    </fill>
    <fill>
      <patternFill patternType="solid">
        <fgColor rgb="FFDAF2D0"/>
        <bgColor indexed="64"/>
      </patternFill>
    </fill>
    <fill>
      <patternFill patternType="solid">
        <fgColor theme="8" tint="0.7999816888943144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2" borderId="0" xfId="0" applyFont="1" applyFill="1" applyAlignment="1">
      <alignment vertical="center"/>
    </xf>
    <xf numFmtId="0" fontId="2" fillId="2" borderId="0" xfId="0" applyFont="1" applyFill="1">
      <alignment vertical="center"/>
    </xf>
    <xf numFmtId="0" fontId="2" fillId="0" borderId="0" xfId="0" applyFont="1">
      <alignment vertical="center"/>
    </xf>
    <xf numFmtId="0" fontId="3" fillId="3" borderId="0" xfId="0" applyFont="1" applyFill="1">
      <alignment vertical="center"/>
    </xf>
    <xf numFmtId="0" fontId="2" fillId="3" borderId="0" xfId="0" applyFont="1" applyFill="1">
      <alignment vertical="center"/>
    </xf>
    <xf numFmtId="0" fontId="2" fillId="4" borderId="0" xfId="0" applyFont="1" applyFill="1">
      <alignment vertical="center"/>
    </xf>
    <xf numFmtId="0" fontId="2" fillId="5" borderId="0" xfId="0" applyFont="1" applyFill="1">
      <alignment vertical="center"/>
    </xf>
    <xf numFmtId="0" fontId="2" fillId="6" borderId="0" xfId="0" applyFont="1" applyFill="1">
      <alignment vertical="center"/>
    </xf>
    <xf numFmtId="0" fontId="2" fillId="7" borderId="0" xfId="0" applyFont="1" applyFill="1">
      <alignment vertical="center"/>
    </xf>
  </cellXfs>
  <cellStyles count="1">
    <cellStyle name="一般" xfId="0" builtinId="0"/>
  </cellStyles>
  <dxfs count="0"/>
  <tableStyles count="0" defaultTableStyle="TableStyleMedium2" defaultPivotStyle="PivotStyleLight16"/>
  <colors>
    <mruColors>
      <color rgb="FFFF9999"/>
      <color rgb="FFDAF2D0"/>
      <color rgb="FFE1F4BE"/>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6E6C4-DB61-4942-8C30-B0CBC0FB7848}">
  <dimension ref="A1:AP172"/>
  <sheetViews>
    <sheetView tabSelected="1" zoomScale="40" zoomScaleNormal="40" workbookViewId="0">
      <selection activeCell="H157" sqref="H157"/>
    </sheetView>
  </sheetViews>
  <sheetFormatPr defaultRowHeight="25" x14ac:dyDescent="0.4"/>
  <cols>
    <col min="1" max="16384" width="8.7265625" style="3"/>
  </cols>
  <sheetData>
    <row r="1" spans="1:42" x14ac:dyDescent="0.4">
      <c r="A1" s="1" t="s">
        <v>0</v>
      </c>
      <c r="B1" s="1"/>
      <c r="C1" s="1"/>
      <c r="D1" s="2"/>
      <c r="E1" s="1" t="s">
        <v>1</v>
      </c>
      <c r="F1" s="1"/>
      <c r="G1" s="2"/>
    </row>
    <row r="2" spans="1:42" x14ac:dyDescent="0.4">
      <c r="A2" s="4" t="s">
        <v>2</v>
      </c>
      <c r="B2" s="5"/>
      <c r="C2" s="5"/>
      <c r="D2" s="5"/>
      <c r="E2" s="5"/>
      <c r="F2" s="5"/>
      <c r="G2" s="5"/>
      <c r="H2" s="5"/>
      <c r="I2" s="5"/>
      <c r="J2" s="5"/>
    </row>
    <row r="3" spans="1:42" x14ac:dyDescent="0.4">
      <c r="A3" s="5" t="s">
        <v>22</v>
      </c>
      <c r="B3" s="5"/>
      <c r="C3" s="5"/>
      <c r="D3" s="5"/>
      <c r="E3" s="5"/>
      <c r="F3" s="5"/>
      <c r="G3" s="5"/>
      <c r="H3" s="5"/>
      <c r="I3" s="5"/>
      <c r="J3" s="5"/>
    </row>
    <row r="4" spans="1:42" x14ac:dyDescent="0.4">
      <c r="A4" s="5" t="s">
        <v>23</v>
      </c>
      <c r="B4" s="5"/>
      <c r="C4" s="5"/>
      <c r="D4" s="5"/>
      <c r="E4" s="5"/>
      <c r="F4" s="5"/>
      <c r="G4" s="5"/>
      <c r="H4" s="5"/>
      <c r="I4" s="5"/>
      <c r="J4" s="5"/>
    </row>
    <row r="5" spans="1:42" x14ac:dyDescent="0.4">
      <c r="A5" s="6" t="s">
        <v>24</v>
      </c>
      <c r="B5" s="6"/>
      <c r="C5" s="6"/>
      <c r="D5" s="6"/>
      <c r="E5" s="6"/>
      <c r="F5" s="6"/>
      <c r="G5" s="6"/>
      <c r="H5" s="6"/>
      <c r="I5" s="6"/>
      <c r="J5" s="6"/>
    </row>
    <row r="6" spans="1:42" x14ac:dyDescent="0.4">
      <c r="A6" s="6" t="s">
        <v>25</v>
      </c>
      <c r="B6" s="6"/>
      <c r="C6" s="6"/>
      <c r="D6" s="6"/>
      <c r="E6" s="6"/>
      <c r="F6" s="6"/>
      <c r="G6" s="6"/>
      <c r="H6" s="6"/>
      <c r="I6" s="6"/>
      <c r="J6" s="6"/>
    </row>
    <row r="7" spans="1:42" x14ac:dyDescent="0.4">
      <c r="A7" s="6" t="s">
        <v>26</v>
      </c>
      <c r="B7" s="6"/>
      <c r="C7" s="6"/>
      <c r="D7" s="6"/>
      <c r="E7" s="6"/>
      <c r="F7" s="6"/>
      <c r="G7" s="6"/>
      <c r="H7" s="6"/>
      <c r="I7" s="6"/>
      <c r="J7" s="6"/>
    </row>
    <row r="8" spans="1:42" x14ac:dyDescent="0.4">
      <c r="A8" s="6" t="s">
        <v>27</v>
      </c>
      <c r="B8" s="6"/>
      <c r="C8" s="6"/>
      <c r="D8" s="6"/>
      <c r="E8" s="6"/>
      <c r="F8" s="6"/>
      <c r="G8" s="6"/>
      <c r="H8" s="6"/>
      <c r="I8" s="6"/>
      <c r="J8" s="6"/>
    </row>
    <row r="9" spans="1:42" x14ac:dyDescent="0.4">
      <c r="A9" s="6" t="s">
        <v>28</v>
      </c>
      <c r="B9" s="6"/>
      <c r="C9" s="6"/>
      <c r="D9" s="6"/>
      <c r="E9" s="6"/>
      <c r="F9" s="6"/>
      <c r="G9" s="6"/>
      <c r="H9" s="6"/>
      <c r="I9" s="6"/>
      <c r="J9" s="6"/>
    </row>
    <row r="11" spans="1:42" x14ac:dyDescent="0.4">
      <c r="A11" s="7" t="s">
        <v>49</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row>
    <row r="12" spans="1:42" x14ac:dyDescent="0.4">
      <c r="A12" s="8" t="s">
        <v>29</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row>
    <row r="13" spans="1:42" x14ac:dyDescent="0.4">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row>
    <row r="14" spans="1:42" x14ac:dyDescent="0.4">
      <c r="A14" s="8" t="s">
        <v>30</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row>
    <row r="15" spans="1:42" x14ac:dyDescent="0.4">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row>
    <row r="16" spans="1:42" x14ac:dyDescent="0.4">
      <c r="A16" s="8" t="s">
        <v>31</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row>
    <row r="17" spans="1:42" x14ac:dyDescent="0.4">
      <c r="A17" s="8" t="s">
        <v>14</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row>
    <row r="18" spans="1:42" x14ac:dyDescent="0.4">
      <c r="A18" s="8" t="s">
        <v>15</v>
      </c>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row>
    <row r="19" spans="1:42" x14ac:dyDescent="0.4">
      <c r="A19" s="8" t="s">
        <v>7</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row>
    <row r="20" spans="1:42" x14ac:dyDescent="0.4">
      <c r="A20" s="8" t="e" cm="1">
        <f t="array" ref="A20">- 高解析度全色波段和五個窄帶多光譜波段</f>
        <v>#NAME?</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row>
    <row r="21" spans="1:42" x14ac:dyDescent="0.4">
      <c r="A21" s="8" t="e" cm="1">
        <f t="array" ref="A21">- 可生成高解析度的NDVI植被指數圖</f>
        <v>#NAME?</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row>
    <row r="22" spans="1:42" x14ac:dyDescent="0.4">
      <c r="A22" s="8" t="s">
        <v>16</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row>
    <row r="23" spans="1:42" x14ac:dyDescent="0.4">
      <c r="A23" s="8" t="s">
        <v>32</v>
      </c>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row>
    <row r="24" spans="1:42" x14ac:dyDescent="0.4">
      <c r="A24" s="8" t="s">
        <v>9</v>
      </c>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row>
    <row r="25" spans="1:42" x14ac:dyDescent="0.4">
      <c r="A25" s="8" t="e" cm="1">
        <f t="array" ref="A25">- 提供高品質的多光譜影像</f>
        <v>#NAME?</v>
      </c>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row>
    <row r="26" spans="1:42" x14ac:dyDescent="0.4">
      <c r="A26" s="8" t="e" cm="1">
        <f t="array" ref="A26">- 支援精確的NDVI植被指數計算</f>
        <v>#NAME?</v>
      </c>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row>
    <row r="27" spans="1:42" x14ac:dyDescent="0.4">
      <c r="A27" s="8" t="s">
        <v>33</v>
      </c>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row>
    <row r="28" spans="1:42" x14ac:dyDescent="0.4">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row>
    <row r="29" spans="1:42" x14ac:dyDescent="0.4">
      <c r="A29" s="8" t="s">
        <v>34</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row>
    <row r="30" spans="1:42" x14ac:dyDescent="0.4">
      <c r="A30" s="8" t="s">
        <v>35</v>
      </c>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row>
    <row r="31" spans="1:42" x14ac:dyDescent="0.4">
      <c r="A31" s="8" t="s">
        <v>36</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row>
    <row r="32" spans="1:42" x14ac:dyDescent="0.4">
      <c r="A32" s="8" t="s">
        <v>7</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row>
    <row r="33" spans="1:42" x14ac:dyDescent="0.4">
      <c r="A33" s="8" t="e" cm="1">
        <f t="array" ref="A33">- 支援高達50安培的輸出電流</f>
        <v>#NAME?</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row>
    <row r="34" spans="1:42" x14ac:dyDescent="0.4">
      <c r="A34" s="8" t="e" cm="1">
        <f t="array" ref="A34">- 具有5V BEC供飛控等設備使用</f>
        <v>#NAME?</v>
      </c>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row>
    <row r="35" spans="1:42" x14ac:dyDescent="0.4">
      <c r="A35" s="8" t="s">
        <v>37</v>
      </c>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row>
    <row r="36" spans="1:42" x14ac:dyDescent="0.4">
      <c r="A36" s="8" t="s">
        <v>38</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row>
    <row r="37" spans="1:42" x14ac:dyDescent="0.4">
      <c r="A37" s="8" t="s">
        <v>9</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row>
    <row r="38" spans="1:42" x14ac:dyDescent="0.4">
      <c r="A38" s="8" t="e" cm="1">
        <f t="array" ref="A38">- 提供高效率的電力管理</f>
        <v>#NAME?</v>
      </c>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row>
    <row r="39" spans="1:42" x14ac:dyDescent="0.4">
      <c r="A39" s="8" t="e" cm="1">
        <f t="array" ref="A39">- 支援多種飛控系統</f>
        <v>#NAME?</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row>
    <row r="40" spans="1:42" x14ac:dyDescent="0.4">
      <c r="A40" s="8" t="s">
        <v>39</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row>
    <row r="41" spans="1:42" x14ac:dyDescent="0.4">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row>
    <row r="42" spans="1:42" x14ac:dyDescent="0.4">
      <c r="A42" s="8" t="s">
        <v>40</v>
      </c>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row>
    <row r="43" spans="1:42" x14ac:dyDescent="0.4">
      <c r="A43" s="8" t="s">
        <v>41</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row>
    <row r="44" spans="1:42" x14ac:dyDescent="0.4">
      <c r="A44" s="8" t="s">
        <v>42</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row>
    <row r="45" spans="1:42" x14ac:dyDescent="0.4">
      <c r="A45" s="8" t="s">
        <v>7</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row>
    <row r="46" spans="1:42" x14ac:dyDescent="0.4">
      <c r="A46" s="8" t="e" cm="1">
        <f t="array" ref="A46">- 支援多種飛控系統和硬體平台</f>
        <v>#NAME?</v>
      </c>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row>
    <row r="47" spans="1:42" x14ac:dyDescent="0.4">
      <c r="A47" s="8" t="e" cm="1">
        <f t="array" ref="A47">- 提供高效率的電力管理和穩定控制</f>
        <v>#NAME?</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row>
    <row r="48" spans="1:42" x14ac:dyDescent="0.4">
      <c r="A48" s="8" t="s">
        <v>43</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row>
    <row r="49" spans="1:42" x14ac:dyDescent="0.4">
      <c r="A49" s="8" t="s">
        <v>38</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row>
    <row r="50" spans="1:42" x14ac:dyDescent="0.4">
      <c r="A50" s="8" t="s">
        <v>9</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row>
    <row r="51" spans="1:42" x14ac:dyDescent="0.4">
      <c r="A51" s="8" t="e" cm="1">
        <f t="array" ref="A51">- 提供高效率的電力管理和穩定控制</f>
        <v>#NAME?</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row>
    <row r="52" spans="1:42" x14ac:dyDescent="0.4">
      <c r="A52" s="8" t="e" cm="1">
        <f t="array" ref="A52">- 支援多種飛控系統和硬體平台</f>
        <v>#NAME?</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row>
    <row r="53" spans="1:42" x14ac:dyDescent="0.4">
      <c r="A53" s="8" t="s">
        <v>44</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row>
    <row r="54" spans="1:42" x14ac:dyDescent="0.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row>
    <row r="55" spans="1:42" x14ac:dyDescent="0.4">
      <c r="A55" s="8" t="s">
        <v>45</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row>
    <row r="56" spans="1:42" x14ac:dyDescent="0.4">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row>
    <row r="57" spans="1:42" x14ac:dyDescent="0.4">
      <c r="A57" s="8" t="s">
        <v>46</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row>
    <row r="58" spans="1:42" x14ac:dyDescent="0.4">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row>
    <row r="59" spans="1:42" x14ac:dyDescent="0.4">
      <c r="A59" s="8" t="s">
        <v>47</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row>
    <row r="60" spans="1:42" x14ac:dyDescent="0.4">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row>
    <row r="61" spans="1:42" x14ac:dyDescent="0.4">
      <c r="A61" s="8" t="s">
        <v>48</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row>
    <row r="63" spans="1:42" x14ac:dyDescent="0.4">
      <c r="A63" s="7" t="s">
        <v>50</v>
      </c>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row>
    <row r="64" spans="1:42" x14ac:dyDescent="0.4">
      <c r="A64" s="8" t="s">
        <v>51</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row>
    <row r="65" spans="1:42" x14ac:dyDescent="0.4">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row>
    <row r="66" spans="1:42" x14ac:dyDescent="0.4">
      <c r="A66" s="8" t="s">
        <v>3</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row>
    <row r="67" spans="1:42" x14ac:dyDescent="0.4">
      <c r="A67" s="8" t="s">
        <v>198</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row>
    <row r="68" spans="1:42" x14ac:dyDescent="0.4">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row>
    <row r="69" spans="1:42" x14ac:dyDescent="0.4">
      <c r="A69" s="8" t="s">
        <v>52</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row>
    <row r="70" spans="1:42" x14ac:dyDescent="0.4">
      <c r="A70" s="8" t="s">
        <v>199</v>
      </c>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row>
    <row r="71" spans="1:42" x14ac:dyDescent="0.4">
      <c r="A71" s="8" t="s">
        <v>6</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row>
    <row r="72" spans="1:42" x14ac:dyDescent="0.4">
      <c r="A72" s="8" t="s">
        <v>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row>
    <row r="73" spans="1:42" x14ac:dyDescent="0.4">
      <c r="A73" s="8" t="s">
        <v>200</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row>
    <row r="74" spans="1:42" x14ac:dyDescent="0.4">
      <c r="A74" s="8" t="s">
        <v>201</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row>
    <row r="75" spans="1:42" x14ac:dyDescent="0.4">
      <c r="A75" s="8" t="s">
        <v>8</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row>
    <row r="76" spans="1:42" x14ac:dyDescent="0.4">
      <c r="A76" s="8" t="s">
        <v>53</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row>
    <row r="77" spans="1:42" x14ac:dyDescent="0.4">
      <c r="A77" s="8" t="s">
        <v>9</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row>
    <row r="78" spans="1:42" x14ac:dyDescent="0.4">
      <c r="A78" s="8" t="s">
        <v>54</v>
      </c>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row>
    <row r="79" spans="1:42" x14ac:dyDescent="0.4">
      <c r="A79" s="8" t="s">
        <v>202</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row>
    <row r="80" spans="1:42" x14ac:dyDescent="0.4">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row>
    <row r="81" spans="1:42" x14ac:dyDescent="0.4">
      <c r="A81" s="8" t="s">
        <v>55</v>
      </c>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row>
    <row r="82" spans="1:42" x14ac:dyDescent="0.4">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row>
    <row r="83" spans="1:42" x14ac:dyDescent="0.4">
      <c r="A83" s="8" t="s">
        <v>56</v>
      </c>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row>
    <row r="84" spans="1:42" x14ac:dyDescent="0.4">
      <c r="A84" s="8" t="s">
        <v>199</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row>
    <row r="85" spans="1:42" x14ac:dyDescent="0.4">
      <c r="A85" s="8" t="s">
        <v>11</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row>
    <row r="86" spans="1:42" x14ac:dyDescent="0.4">
      <c r="A86" s="8" t="s">
        <v>7</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row>
    <row r="87" spans="1:42" x14ac:dyDescent="0.4">
      <c r="A87" s="8" t="s">
        <v>57</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row>
    <row r="88" spans="1:42" x14ac:dyDescent="0.4">
      <c r="A88" s="8" t="s">
        <v>203</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row>
    <row r="89" spans="1:42" x14ac:dyDescent="0.4">
      <c r="A89" s="8" t="s">
        <v>12</v>
      </c>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row>
    <row r="90" spans="1:42" x14ac:dyDescent="0.4">
      <c r="A90" s="8" t="s">
        <v>204</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row>
    <row r="91" spans="1:42" x14ac:dyDescent="0.4">
      <c r="A91" s="8" t="s">
        <v>9</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row>
    <row r="92" spans="1:42" x14ac:dyDescent="0.4">
      <c r="A92" s="8" t="s">
        <v>205</v>
      </c>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row>
    <row r="93" spans="1:42" x14ac:dyDescent="0.4">
      <c r="A93" s="8" t="s">
        <v>206</v>
      </c>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row>
    <row r="94" spans="1:42" x14ac:dyDescent="0.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row>
    <row r="95" spans="1:42" x14ac:dyDescent="0.4">
      <c r="A95" s="8" t="s">
        <v>58</v>
      </c>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row>
    <row r="96" spans="1:42" x14ac:dyDescent="0.4">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row>
    <row r="97" spans="1:42" x14ac:dyDescent="0.4">
      <c r="A97" s="8" t="s">
        <v>59</v>
      </c>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row>
    <row r="98" spans="1:42" x14ac:dyDescent="0.4">
      <c r="A98" s="8" t="s">
        <v>207</v>
      </c>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row>
    <row r="99" spans="1:42" x14ac:dyDescent="0.4">
      <c r="A99" s="8" t="s">
        <v>208</v>
      </c>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row>
    <row r="100" spans="1:42" x14ac:dyDescent="0.4">
      <c r="A100" s="8" t="s">
        <v>7</v>
      </c>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row>
    <row r="101" spans="1:42" x14ac:dyDescent="0.4">
      <c r="A101" s="8" t="s">
        <v>209</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row>
    <row r="102" spans="1:42" x14ac:dyDescent="0.4">
      <c r="A102" s="8" t="s">
        <v>60</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row>
    <row r="103" spans="1:42" x14ac:dyDescent="0.4">
      <c r="A103" s="8" t="s">
        <v>210</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row>
    <row r="104" spans="1:42" x14ac:dyDescent="0.4">
      <c r="A104" s="8" t="s">
        <v>9</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row>
    <row r="105" spans="1:42" x14ac:dyDescent="0.4">
      <c r="A105" s="8" t="s">
        <v>211</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row>
    <row r="106" spans="1:42" x14ac:dyDescent="0.4">
      <c r="A106" s="8" t="s">
        <v>206</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row>
    <row r="107" spans="1:42" x14ac:dyDescent="0.4">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row>
    <row r="108" spans="1:42" x14ac:dyDescent="0.4">
      <c r="A108" s="8" t="s">
        <v>61</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row>
    <row r="109" spans="1:42" x14ac:dyDescent="0.4">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row>
    <row r="110" spans="1:42" x14ac:dyDescent="0.4">
      <c r="A110" s="8" t="s">
        <v>13</v>
      </c>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row>
    <row r="111" spans="1:42" x14ac:dyDescent="0.4">
      <c r="A111" s="8" t="s">
        <v>212</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row>
    <row r="112" spans="1:42" x14ac:dyDescent="0.4">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row>
    <row r="113" spans="1:42" x14ac:dyDescent="0.4">
      <c r="A113" s="8" t="s">
        <v>213</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row>
    <row r="114" spans="1:42" x14ac:dyDescent="0.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row>
    <row r="115" spans="1:42" x14ac:dyDescent="0.4">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row>
    <row r="116" spans="1:42" x14ac:dyDescent="0.4">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row>
    <row r="119" spans="1:42" x14ac:dyDescent="0.4">
      <c r="A119" s="7" t="s">
        <v>62</v>
      </c>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row>
    <row r="120" spans="1:42" x14ac:dyDescent="0.4">
      <c r="A120" s="8" t="s">
        <v>214</v>
      </c>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row>
    <row r="121" spans="1:42" x14ac:dyDescent="0.4">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row>
    <row r="122" spans="1:42" x14ac:dyDescent="0.4">
      <c r="A122" s="8" t="s">
        <v>3</v>
      </c>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row>
    <row r="123" spans="1:42" x14ac:dyDescent="0.4">
      <c r="A123" s="8" t="s">
        <v>215</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row>
    <row r="124" spans="1:42" x14ac:dyDescent="0.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row>
    <row r="125" spans="1:42" x14ac:dyDescent="0.4">
      <c r="A125" s="8" t="s">
        <v>17</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row>
    <row r="126" spans="1:42" x14ac:dyDescent="0.4">
      <c r="A126" s="8" t="s">
        <v>216</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row>
    <row r="127" spans="1:42" x14ac:dyDescent="0.4">
      <c r="A127" s="8" t="s">
        <v>217</v>
      </c>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row>
    <row r="128" spans="1:42" x14ac:dyDescent="0.4">
      <c r="A128" s="8" t="s">
        <v>7</v>
      </c>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row>
    <row r="129" spans="1:37" x14ac:dyDescent="0.4">
      <c r="A129" s="8" t="s">
        <v>218</v>
      </c>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row>
    <row r="130" spans="1:37" x14ac:dyDescent="0.4">
      <c r="A130" s="8" t="s">
        <v>234</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row>
    <row r="131" spans="1:37" x14ac:dyDescent="0.4">
      <c r="A131" s="8" t="s">
        <v>219</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row>
    <row r="132" spans="1:37" x14ac:dyDescent="0.4">
      <c r="A132" s="8" t="s">
        <v>220</v>
      </c>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row>
    <row r="133" spans="1:37" x14ac:dyDescent="0.4">
      <c r="A133" s="8" t="s">
        <v>9</v>
      </c>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row>
    <row r="134" spans="1:37" x14ac:dyDescent="0.4">
      <c r="A134" s="8" t="s">
        <v>235</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row>
    <row r="135" spans="1:37" x14ac:dyDescent="0.4">
      <c r="A135" s="8" t="s">
        <v>236</v>
      </c>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row>
    <row r="136" spans="1:37" x14ac:dyDescent="0.4">
      <c r="A136" s="8" t="s">
        <v>221</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row>
    <row r="137" spans="1:37" x14ac:dyDescent="0.4">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row>
    <row r="138" spans="1:37" x14ac:dyDescent="0.4">
      <c r="A138" s="8" t="s">
        <v>19</v>
      </c>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row>
    <row r="139" spans="1:37" x14ac:dyDescent="0.4">
      <c r="A139" s="8" t="s">
        <v>222</v>
      </c>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row>
    <row r="140" spans="1:37" x14ac:dyDescent="0.4">
      <c r="A140" s="8" t="s">
        <v>223</v>
      </c>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row>
    <row r="141" spans="1:37" x14ac:dyDescent="0.4">
      <c r="A141" s="8" t="s">
        <v>7</v>
      </c>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row>
    <row r="142" spans="1:37" x14ac:dyDescent="0.4">
      <c r="A142" s="8" t="s">
        <v>237</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row>
    <row r="143" spans="1:37" x14ac:dyDescent="0.4">
      <c r="A143" s="8" t="s">
        <v>238</v>
      </c>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row>
    <row r="144" spans="1:37" x14ac:dyDescent="0.4">
      <c r="A144" s="8" t="s">
        <v>224</v>
      </c>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row>
    <row r="145" spans="1:37" x14ac:dyDescent="0.4">
      <c r="A145" s="8" t="s">
        <v>225</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row>
    <row r="146" spans="1:37" x14ac:dyDescent="0.4">
      <c r="A146" s="8" t="s">
        <v>9</v>
      </c>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row>
    <row r="147" spans="1:37" x14ac:dyDescent="0.4">
      <c r="A147" s="8" t="s">
        <v>239</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row>
    <row r="148" spans="1:37" x14ac:dyDescent="0.4">
      <c r="A148" s="8" t="s">
        <v>240</v>
      </c>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row>
    <row r="149" spans="1:37" x14ac:dyDescent="0.4">
      <c r="A149" s="8" t="s">
        <v>226</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row>
    <row r="150" spans="1:37" x14ac:dyDescent="0.4">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row>
    <row r="151" spans="1:37" x14ac:dyDescent="0.4">
      <c r="A151" s="8" t="s">
        <v>20</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row>
    <row r="152" spans="1:37" x14ac:dyDescent="0.4">
      <c r="A152" s="8" t="s">
        <v>227</v>
      </c>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row>
    <row r="153" spans="1:37" x14ac:dyDescent="0.4">
      <c r="A153" s="8" t="s">
        <v>228</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row>
    <row r="154" spans="1:37" x14ac:dyDescent="0.4">
      <c r="A154" s="8" t="s">
        <v>7</v>
      </c>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row>
    <row r="155" spans="1:37" x14ac:dyDescent="0.4">
      <c r="A155" s="8" t="s">
        <v>241</v>
      </c>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row>
    <row r="156" spans="1:37" x14ac:dyDescent="0.4">
      <c r="A156" s="8" t="s">
        <v>242</v>
      </c>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row>
    <row r="157" spans="1:37" x14ac:dyDescent="0.4">
      <c r="A157" s="8" t="s">
        <v>229</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row>
    <row r="158" spans="1:37" x14ac:dyDescent="0.4">
      <c r="A158" s="8" t="s">
        <v>230</v>
      </c>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row>
    <row r="159" spans="1:37" x14ac:dyDescent="0.4">
      <c r="A159" s="8" t="s">
        <v>9</v>
      </c>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row>
    <row r="160" spans="1:37" x14ac:dyDescent="0.4">
      <c r="A160" s="8" t="s">
        <v>243</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row>
    <row r="161" spans="1:37" x14ac:dyDescent="0.4">
      <c r="A161" s="8" t="s">
        <v>244</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row>
    <row r="162" spans="1:37" x14ac:dyDescent="0.4">
      <c r="A162" s="8" t="s">
        <v>231</v>
      </c>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row>
    <row r="163" spans="1:37" x14ac:dyDescent="0.4">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row>
    <row r="164" spans="1:37" x14ac:dyDescent="0.4">
      <c r="A164" s="8" t="s">
        <v>13</v>
      </c>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row>
    <row r="165" spans="1:37" x14ac:dyDescent="0.4">
      <c r="A165" s="8" t="s">
        <v>232</v>
      </c>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row>
    <row r="166" spans="1:37" x14ac:dyDescent="0.4">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row>
    <row r="167" spans="1:37" x14ac:dyDescent="0.4">
      <c r="A167" s="8" t="s">
        <v>233</v>
      </c>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row>
    <row r="168" spans="1:37" x14ac:dyDescent="0.4">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row>
    <row r="169" spans="1:37" x14ac:dyDescent="0.4">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row>
    <row r="170" spans="1:37" x14ac:dyDescent="0.4">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row>
    <row r="171" spans="1:37" x14ac:dyDescent="0.4">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row>
    <row r="172" spans="1:37" x14ac:dyDescent="0.4">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D190-3F29-4600-98B9-27B3A13D639E}">
  <dimension ref="A1:AG163"/>
  <sheetViews>
    <sheetView topLeftCell="A106" zoomScale="55" zoomScaleNormal="55" workbookViewId="0">
      <selection activeCell="J93" sqref="J93"/>
    </sheetView>
  </sheetViews>
  <sheetFormatPr defaultRowHeight="17" x14ac:dyDescent="0.4"/>
  <cols>
    <col min="1" max="16384" width="8.7265625" style="3"/>
  </cols>
  <sheetData>
    <row r="1" spans="1:27" ht="25" x14ac:dyDescent="0.4">
      <c r="A1" s="1" t="s">
        <v>85</v>
      </c>
      <c r="B1" s="1"/>
      <c r="C1" s="1"/>
      <c r="D1" s="2"/>
      <c r="E1" s="1" t="s">
        <v>63</v>
      </c>
      <c r="F1" s="1"/>
      <c r="G1" s="2"/>
    </row>
    <row r="2" spans="1:27" ht="25" x14ac:dyDescent="0.4">
      <c r="A2" s="4" t="s">
        <v>2</v>
      </c>
      <c r="B2" s="5"/>
      <c r="C2" s="5"/>
      <c r="D2" s="5"/>
      <c r="E2" s="5"/>
      <c r="F2" s="5"/>
      <c r="G2" s="5"/>
      <c r="H2" s="5"/>
      <c r="I2" s="5"/>
      <c r="J2" s="5"/>
    </row>
    <row r="3" spans="1:27" ht="25" x14ac:dyDescent="0.4">
      <c r="A3" s="5" t="s">
        <v>22</v>
      </c>
      <c r="B3" s="5"/>
      <c r="C3" s="5"/>
      <c r="D3" s="5"/>
      <c r="E3" s="5"/>
      <c r="F3" s="5"/>
      <c r="G3" s="5"/>
      <c r="H3" s="5"/>
      <c r="I3" s="5"/>
      <c r="J3" s="5"/>
    </row>
    <row r="4" spans="1:27" ht="25" x14ac:dyDescent="0.4">
      <c r="A4" s="5" t="s">
        <v>23</v>
      </c>
      <c r="B4" s="5"/>
      <c r="C4" s="5"/>
      <c r="D4" s="5"/>
      <c r="E4" s="5"/>
      <c r="F4" s="5"/>
      <c r="G4" s="5"/>
      <c r="H4" s="5"/>
      <c r="I4" s="5"/>
      <c r="J4" s="5"/>
    </row>
    <row r="5" spans="1:27" ht="25" x14ac:dyDescent="0.4">
      <c r="A5" s="6" t="s">
        <v>25</v>
      </c>
      <c r="B5" s="6"/>
      <c r="C5" s="6"/>
      <c r="D5" s="6"/>
      <c r="E5" s="6"/>
      <c r="F5" s="6"/>
      <c r="G5" s="6"/>
      <c r="H5" s="6"/>
      <c r="I5" s="6"/>
      <c r="J5" s="6"/>
    </row>
    <row r="6" spans="1:27" ht="25" x14ac:dyDescent="0.4">
      <c r="A6" s="6" t="s">
        <v>245</v>
      </c>
      <c r="B6" s="6"/>
      <c r="C6" s="6"/>
      <c r="D6" s="6"/>
      <c r="E6" s="6"/>
      <c r="F6" s="6"/>
      <c r="G6" s="6"/>
      <c r="H6" s="6"/>
      <c r="I6" s="6"/>
      <c r="J6" s="6"/>
    </row>
    <row r="7" spans="1:27" ht="25" x14ac:dyDescent="0.4">
      <c r="A7" s="6" t="s">
        <v>246</v>
      </c>
      <c r="B7" s="6"/>
      <c r="C7" s="6"/>
      <c r="D7" s="6"/>
      <c r="E7" s="6"/>
      <c r="F7" s="6"/>
      <c r="G7" s="6"/>
      <c r="H7" s="6"/>
      <c r="I7" s="6"/>
      <c r="J7" s="6"/>
    </row>
    <row r="8" spans="1:27" ht="25" x14ac:dyDescent="0.4">
      <c r="A8" s="6" t="s">
        <v>247</v>
      </c>
      <c r="B8" s="6"/>
      <c r="C8" s="6"/>
      <c r="D8" s="6"/>
      <c r="E8" s="6"/>
      <c r="F8" s="6"/>
      <c r="G8" s="6"/>
      <c r="H8" s="6"/>
      <c r="I8" s="6"/>
      <c r="J8" s="6"/>
    </row>
    <row r="9" spans="1:27" ht="25" x14ac:dyDescent="0.4"/>
    <row r="11" spans="1:27" ht="25" x14ac:dyDescent="0.4">
      <c r="A11" s="7" t="s">
        <v>49</v>
      </c>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ht="25" x14ac:dyDescent="0.4">
      <c r="A12" s="8" t="s">
        <v>248</v>
      </c>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ht="25" x14ac:dyDescent="0.4">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ht="25" x14ac:dyDescent="0.4">
      <c r="A14" s="8" t="s">
        <v>249</v>
      </c>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ht="25" x14ac:dyDescent="0.4">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ht="25" x14ac:dyDescent="0.4">
      <c r="A16" s="8" t="s">
        <v>64</v>
      </c>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ht="25" x14ac:dyDescent="0.4">
      <c r="A17" s="8" t="s">
        <v>250</v>
      </c>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ht="25" x14ac:dyDescent="0.4">
      <c r="A18" s="8" t="s">
        <v>251</v>
      </c>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ht="25" x14ac:dyDescent="0.4">
      <c r="A19" s="8" t="s">
        <v>252</v>
      </c>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ht="25" x14ac:dyDescent="0.4">
      <c r="A20" s="8" t="s">
        <v>65</v>
      </c>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ht="25" x14ac:dyDescent="0.4">
      <c r="A21" s="8" t="s">
        <v>253</v>
      </c>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ht="25" x14ac:dyDescent="0.4">
      <c r="A22" s="8" t="s">
        <v>9</v>
      </c>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ht="25" x14ac:dyDescent="0.4">
      <c r="A23" s="8" t="s">
        <v>254</v>
      </c>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ht="25" x14ac:dyDescent="0.4">
      <c r="A24" s="8" t="s">
        <v>255</v>
      </c>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ht="25" x14ac:dyDescent="0.4">
      <c r="A25" s="8" t="s">
        <v>66</v>
      </c>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ht="25" x14ac:dyDescent="0.4">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ht="25" x14ac:dyDescent="0.4">
      <c r="A27" s="8" t="s">
        <v>256</v>
      </c>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ht="25" x14ac:dyDescent="0.4">
      <c r="A28" s="8" t="s">
        <v>257</v>
      </c>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ht="25" x14ac:dyDescent="0.4">
      <c r="A29" s="8" t="s">
        <v>258</v>
      </c>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ht="25" x14ac:dyDescent="0.4">
      <c r="A30" s="8" t="s">
        <v>259</v>
      </c>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ht="25" x14ac:dyDescent="0.4">
      <c r="A31" s="8" t="s">
        <v>67</v>
      </c>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ht="25" x14ac:dyDescent="0.4">
      <c r="A32" s="8" t="s">
        <v>260</v>
      </c>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33" ht="25" x14ac:dyDescent="0.4">
      <c r="A33" s="8" t="s">
        <v>9</v>
      </c>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33" ht="25" x14ac:dyDescent="0.4">
      <c r="A34" s="8" t="s">
        <v>261</v>
      </c>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33" ht="25" x14ac:dyDescent="0.4">
      <c r="A35" s="8" t="s">
        <v>262</v>
      </c>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33" ht="25" x14ac:dyDescent="0.4">
      <c r="A36" s="8" t="s">
        <v>68</v>
      </c>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33" ht="25" x14ac:dyDescent="0.4">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33" ht="25" x14ac:dyDescent="0.4">
      <c r="A38" s="8" t="s">
        <v>263</v>
      </c>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33" ht="25" x14ac:dyDescent="0.4">
      <c r="A39" s="8" t="s">
        <v>264</v>
      </c>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33" ht="25" x14ac:dyDescent="0.4">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33" ht="25" x14ac:dyDescent="0.4"/>
    <row r="42" spans="1:33" ht="25" x14ac:dyDescent="0.4"/>
    <row r="43" spans="1:33" ht="25" x14ac:dyDescent="0.4">
      <c r="A43" s="7" t="s">
        <v>50</v>
      </c>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1:33" ht="25" x14ac:dyDescent="0.4">
      <c r="A44" s="8" t="s">
        <v>265</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spans="1:33" ht="25" x14ac:dyDescent="0.4">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spans="1:33" ht="25" x14ac:dyDescent="0.4">
      <c r="A46" s="8" t="s">
        <v>266</v>
      </c>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row>
    <row r="47" spans="1:33" ht="25" x14ac:dyDescent="0.4">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spans="1:33" ht="25" x14ac:dyDescent="0.4">
      <c r="A48" s="8" t="s">
        <v>69</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spans="1:33" ht="25" x14ac:dyDescent="0.4">
      <c r="A49" s="8" t="s">
        <v>5</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row>
    <row r="50" spans="1:33" ht="25" x14ac:dyDescent="0.4">
      <c r="A50" s="8" t="s">
        <v>267</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row>
    <row r="51" spans="1:33" ht="25" x14ac:dyDescent="0.4">
      <c r="A51" s="8" t="s">
        <v>268</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row>
    <row r="52" spans="1:33" ht="25" x14ac:dyDescent="0.4">
      <c r="A52" s="8" t="s">
        <v>70</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row>
    <row r="53" spans="1:33" ht="25" x14ac:dyDescent="0.4">
      <c r="A53" s="8" t="s">
        <v>269</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row>
    <row r="54" spans="1:33" ht="25" x14ac:dyDescent="0.4">
      <c r="A54" s="8" t="s">
        <v>9</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row>
    <row r="55" spans="1:33" ht="25" x14ac:dyDescent="0.4">
      <c r="A55" s="8" t="s">
        <v>270</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row>
    <row r="56" spans="1:33" ht="25" x14ac:dyDescent="0.4">
      <c r="A56" s="8" t="s">
        <v>271</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row>
    <row r="57" spans="1:33" ht="25" x14ac:dyDescent="0.4">
      <c r="A57" s="8" t="s">
        <v>272</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row>
    <row r="58" spans="1:33" ht="25" x14ac:dyDescent="0.4">
      <c r="A58" s="8" t="s">
        <v>71</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row>
    <row r="59" spans="1:33" ht="25" x14ac:dyDescent="0.4">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row>
    <row r="60" spans="1:33" ht="25" x14ac:dyDescent="0.4">
      <c r="A60" s="8" t="s">
        <v>72</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row>
    <row r="61" spans="1:33" ht="25" x14ac:dyDescent="0.4">
      <c r="A61" s="8" t="s">
        <v>5</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row>
    <row r="62" spans="1:33" ht="17" customHeight="1" x14ac:dyDescent="0.4">
      <c r="A62" s="8" t="s">
        <v>273</v>
      </c>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row>
    <row r="63" spans="1:33" ht="25" x14ac:dyDescent="0.4">
      <c r="A63" s="8" t="s">
        <v>274</v>
      </c>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row>
    <row r="64" spans="1:33" ht="25" x14ac:dyDescent="0.4">
      <c r="A64" s="8" t="s">
        <v>73</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row>
    <row r="65" spans="1:33" ht="25" x14ac:dyDescent="0.4">
      <c r="A65" s="8" t="s">
        <v>275</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row>
    <row r="66" spans="1:33" ht="25" x14ac:dyDescent="0.4">
      <c r="A66" s="8" t="s">
        <v>9</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row>
    <row r="67" spans="1:33" ht="25" x14ac:dyDescent="0.4">
      <c r="A67" s="8" t="s">
        <v>74</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row>
    <row r="68" spans="1:33" ht="25" x14ac:dyDescent="0.4">
      <c r="A68" s="8" t="s">
        <v>276</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row>
    <row r="69" spans="1:33" ht="25" x14ac:dyDescent="0.4">
      <c r="A69" s="8" t="s">
        <v>277</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row>
    <row r="70" spans="1:33" ht="25" x14ac:dyDescent="0.4">
      <c r="A70" s="8" t="s">
        <v>75</v>
      </c>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row>
    <row r="71" spans="1:33" ht="25" x14ac:dyDescent="0.4">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row>
    <row r="72" spans="1:33" ht="25" x14ac:dyDescent="0.4">
      <c r="A72" s="8" t="s">
        <v>76</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row>
    <row r="73" spans="1:33" ht="25" x14ac:dyDescent="0.4">
      <c r="A73" s="8" t="s">
        <v>5</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row>
    <row r="74" spans="1:33" ht="25" x14ac:dyDescent="0.4">
      <c r="A74" s="8" t="s">
        <v>278</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row>
    <row r="75" spans="1:33" ht="25" x14ac:dyDescent="0.4">
      <c r="A75" s="8" t="s">
        <v>279</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row>
    <row r="76" spans="1:33" ht="25" x14ac:dyDescent="0.4">
      <c r="A76" s="8" t="s">
        <v>77</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row>
    <row r="77" spans="1:33" ht="25" x14ac:dyDescent="0.4">
      <c r="A77" s="8" t="s">
        <v>280</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row>
    <row r="78" spans="1:33" ht="25" x14ac:dyDescent="0.4">
      <c r="A78" s="8" t="s">
        <v>9</v>
      </c>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row>
    <row r="79" spans="1:33" ht="25" x14ac:dyDescent="0.4">
      <c r="A79" s="8" t="s">
        <v>78</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row>
    <row r="80" spans="1:33" ht="25" x14ac:dyDescent="0.4">
      <c r="A80" s="8" t="s">
        <v>276</v>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row>
    <row r="81" spans="1:33" ht="25" x14ac:dyDescent="0.4">
      <c r="A81" s="8" t="s">
        <v>281</v>
      </c>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row>
    <row r="82" spans="1:33" ht="25" x14ac:dyDescent="0.4">
      <c r="A82" s="8" t="s">
        <v>79</v>
      </c>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row>
    <row r="83" spans="1:33" ht="25" x14ac:dyDescent="0.4">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row>
    <row r="84" spans="1:33" ht="25" x14ac:dyDescent="0.4">
      <c r="A84" s="8" t="s">
        <v>282</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row>
    <row r="85" spans="1:33" ht="25" x14ac:dyDescent="0.4">
      <c r="A85" s="8" t="s">
        <v>283</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row>
    <row r="86" spans="1:33" ht="25" x14ac:dyDescent="0.4">
      <c r="A86" s="8" t="s">
        <v>284</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row>
    <row r="87" spans="1:33" ht="25" x14ac:dyDescent="0.4">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spans="1:33" ht="25" x14ac:dyDescent="0.4">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row>
    <row r="89" spans="1:33" ht="25" x14ac:dyDescent="0.4"/>
    <row r="90" spans="1:33" ht="25" x14ac:dyDescent="0.4"/>
    <row r="91" spans="1:33" ht="25" x14ac:dyDescent="0.4">
      <c r="A91" s="7" t="s">
        <v>62</v>
      </c>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25" x14ac:dyDescent="0.4">
      <c r="A92" s="8" t="s">
        <v>285</v>
      </c>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row>
    <row r="93" spans="1:33" ht="25" x14ac:dyDescent="0.4">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row>
    <row r="94" spans="1:33" ht="25" x14ac:dyDescent="0.4">
      <c r="A94" s="8" t="s">
        <v>286</v>
      </c>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row>
    <row r="95" spans="1:33" ht="25" x14ac:dyDescent="0.4">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row>
    <row r="96" spans="1:33" ht="25" x14ac:dyDescent="0.4">
      <c r="A96" s="8" t="s">
        <v>287</v>
      </c>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spans="1:33" ht="25" x14ac:dyDescent="0.4">
      <c r="A97" s="8" t="s">
        <v>82</v>
      </c>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row>
    <row r="98" spans="1:33" ht="25" x14ac:dyDescent="0.4">
      <c r="A98" s="8" t="s">
        <v>288</v>
      </c>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row>
    <row r="99" spans="1:33" ht="25" x14ac:dyDescent="0.4">
      <c r="A99" s="8" t="s">
        <v>289</v>
      </c>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row>
    <row r="100" spans="1:33" ht="25" x14ac:dyDescent="0.4">
      <c r="A100" s="8" t="s">
        <v>21</v>
      </c>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row>
    <row r="101" spans="1:33" ht="25" x14ac:dyDescent="0.4">
      <c r="A101" s="8" t="s">
        <v>290</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row>
    <row r="102" spans="1:33" ht="25" x14ac:dyDescent="0.4">
      <c r="A102" s="8" t="s">
        <v>9</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row>
    <row r="103" spans="1:33" ht="25" x14ac:dyDescent="0.4">
      <c r="A103" s="8" t="s">
        <v>83</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row>
    <row r="104" spans="1:33" ht="25" x14ac:dyDescent="0.4">
      <c r="A104" s="8" t="s">
        <v>84</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row>
    <row r="105" spans="1:33" ht="25" x14ac:dyDescent="0.4">
      <c r="A105" s="8" t="s">
        <v>291</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row>
    <row r="106" spans="1:33" ht="25" x14ac:dyDescent="0.4">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row>
    <row r="107" spans="1:33" ht="25" x14ac:dyDescent="0.4">
      <c r="A107" s="8" t="s">
        <v>292</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row>
    <row r="108" spans="1:33" ht="25" x14ac:dyDescent="0.4">
      <c r="A108" s="8" t="s">
        <v>80</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row>
    <row r="109" spans="1:33" ht="17" customHeight="1" x14ac:dyDescent="0.4">
      <c r="A109" s="8" t="s">
        <v>293</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row>
    <row r="110" spans="1:33" ht="25" x14ac:dyDescent="0.4">
      <c r="A110" s="8" t="s">
        <v>294</v>
      </c>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row>
    <row r="111" spans="1:33" ht="25" x14ac:dyDescent="0.4">
      <c r="A111" s="8" t="s">
        <v>18</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row>
    <row r="112" spans="1:33" ht="25" x14ac:dyDescent="0.4">
      <c r="A112" s="8" t="s">
        <v>295</v>
      </c>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row>
    <row r="113" spans="1:33" ht="25" x14ac:dyDescent="0.4">
      <c r="A113" s="8" t="s">
        <v>9</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row>
    <row r="114" spans="1:33" ht="25" x14ac:dyDescent="0.4">
      <c r="A114" s="8" t="s">
        <v>296</v>
      </c>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row>
    <row r="115" spans="1:33" ht="25" x14ac:dyDescent="0.4">
      <c r="A115" s="8" t="s">
        <v>81</v>
      </c>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row>
    <row r="116" spans="1:33" ht="25" x14ac:dyDescent="0.4">
      <c r="A116" s="8" t="s">
        <v>297</v>
      </c>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row>
    <row r="117" spans="1:33" ht="25" x14ac:dyDescent="0.4">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row>
    <row r="118" spans="1:33" ht="25" x14ac:dyDescent="0.4">
      <c r="A118" s="8" t="s">
        <v>298</v>
      </c>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row>
    <row r="119" spans="1:33" ht="25" x14ac:dyDescent="0.4">
      <c r="A119" s="8" t="s">
        <v>299</v>
      </c>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row>
    <row r="120" spans="1:33" ht="25" x14ac:dyDescent="0.4">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row>
    <row r="121" spans="1:33" ht="25" x14ac:dyDescent="0.4"/>
    <row r="122" spans="1:33" ht="25" x14ac:dyDescent="0.4"/>
    <row r="123" spans="1:33" ht="25" x14ac:dyDescent="0.4"/>
    <row r="124" spans="1:33" ht="25" x14ac:dyDescent="0.4"/>
    <row r="125" spans="1:33" ht="25" x14ac:dyDescent="0.4"/>
    <row r="126" spans="1:33" ht="25" x14ac:dyDescent="0.4"/>
    <row r="127" spans="1:33" ht="25" x14ac:dyDescent="0.4"/>
    <row r="128" spans="1:33" ht="25" x14ac:dyDescent="0.4"/>
    <row r="129" ht="25" x14ac:dyDescent="0.4"/>
    <row r="130" ht="25" x14ac:dyDescent="0.4"/>
    <row r="131" ht="25" x14ac:dyDescent="0.4"/>
    <row r="132" ht="25" x14ac:dyDescent="0.4"/>
    <row r="133" ht="25" x14ac:dyDescent="0.4"/>
    <row r="134" ht="25" x14ac:dyDescent="0.4"/>
    <row r="135" ht="25" x14ac:dyDescent="0.4"/>
    <row r="136" ht="25" x14ac:dyDescent="0.4"/>
    <row r="137" ht="25" x14ac:dyDescent="0.4"/>
    <row r="138" ht="25" x14ac:dyDescent="0.4"/>
    <row r="139" ht="25" x14ac:dyDescent="0.4"/>
    <row r="140" ht="25" x14ac:dyDescent="0.4"/>
    <row r="141" ht="25" x14ac:dyDescent="0.4"/>
    <row r="142" ht="25" x14ac:dyDescent="0.4"/>
    <row r="143" ht="25" x14ac:dyDescent="0.4"/>
    <row r="144" ht="25" x14ac:dyDescent="0.4"/>
    <row r="145" ht="25" x14ac:dyDescent="0.4"/>
    <row r="146" ht="25" x14ac:dyDescent="0.4"/>
    <row r="147" ht="25" x14ac:dyDescent="0.4"/>
    <row r="148" ht="25" x14ac:dyDescent="0.4"/>
    <row r="149" ht="25" x14ac:dyDescent="0.4"/>
    <row r="150" ht="25" x14ac:dyDescent="0.4"/>
    <row r="151" ht="25" x14ac:dyDescent="0.4"/>
    <row r="152" ht="25" x14ac:dyDescent="0.4"/>
    <row r="153" ht="25" x14ac:dyDescent="0.4"/>
    <row r="154" ht="25" x14ac:dyDescent="0.4"/>
    <row r="155" ht="25" x14ac:dyDescent="0.4"/>
    <row r="156" ht="25" x14ac:dyDescent="0.4"/>
    <row r="157" ht="25" x14ac:dyDescent="0.4"/>
    <row r="158" ht="25" x14ac:dyDescent="0.4"/>
    <row r="159" ht="25" x14ac:dyDescent="0.4"/>
    <row r="160" ht="25" x14ac:dyDescent="0.4"/>
    <row r="161" ht="25" x14ac:dyDescent="0.4"/>
    <row r="162" ht="25" x14ac:dyDescent="0.4"/>
    <row r="163" ht="25" x14ac:dyDescent="0.4"/>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8B0F-7CF4-4DF0-9EAA-D40F28153781}">
  <dimension ref="A1:JD182"/>
  <sheetViews>
    <sheetView topLeftCell="AS120" zoomScale="70" zoomScaleNormal="70" workbookViewId="0">
      <selection activeCell="BI131" sqref="BI131"/>
    </sheetView>
  </sheetViews>
  <sheetFormatPr defaultRowHeight="25" x14ac:dyDescent="0.4"/>
  <cols>
    <col min="1" max="29" width="8.7265625" style="3"/>
    <col min="30" max="30" width="12.36328125" style="3" bestFit="1" customWidth="1"/>
    <col min="31" max="16384" width="8.7265625" style="3"/>
  </cols>
  <sheetData>
    <row r="1" spans="1:19" x14ac:dyDescent="0.4">
      <c r="A1" s="1" t="s">
        <v>86</v>
      </c>
      <c r="B1" s="1"/>
      <c r="C1" s="1"/>
      <c r="D1" s="2"/>
      <c r="E1" s="1" t="s">
        <v>87</v>
      </c>
      <c r="F1" s="1"/>
      <c r="G1" s="1"/>
      <c r="H1" s="1"/>
    </row>
    <row r="2" spans="1:19" x14ac:dyDescent="0.4">
      <c r="A2" s="4" t="s">
        <v>2</v>
      </c>
      <c r="B2" s="5"/>
      <c r="C2" s="5"/>
      <c r="D2" s="5"/>
      <c r="E2" s="5"/>
      <c r="F2" s="5"/>
      <c r="G2" s="5"/>
      <c r="H2" s="5"/>
      <c r="I2" s="5"/>
      <c r="J2" s="5"/>
    </row>
    <row r="3" spans="1:19" x14ac:dyDescent="0.4">
      <c r="A3" s="5" t="s">
        <v>22</v>
      </c>
      <c r="B3" s="5"/>
      <c r="C3" s="5"/>
      <c r="D3" s="5"/>
      <c r="E3" s="5"/>
      <c r="F3" s="5"/>
      <c r="G3" s="5"/>
      <c r="H3" s="5"/>
      <c r="I3" s="5"/>
      <c r="J3" s="5"/>
    </row>
    <row r="4" spans="1:19" x14ac:dyDescent="0.4">
      <c r="A4" s="5" t="s">
        <v>23</v>
      </c>
      <c r="B4" s="5"/>
      <c r="C4" s="5"/>
      <c r="D4" s="5"/>
      <c r="E4" s="5"/>
      <c r="F4" s="5"/>
      <c r="G4" s="5"/>
      <c r="H4" s="5"/>
      <c r="I4" s="5"/>
      <c r="J4" s="5"/>
    </row>
    <row r="5" spans="1:19" x14ac:dyDescent="0.4">
      <c r="A5" s="6" t="s">
        <v>25</v>
      </c>
      <c r="B5" s="6"/>
      <c r="C5" s="6"/>
      <c r="D5" s="6"/>
      <c r="E5" s="6"/>
      <c r="F5" s="6"/>
      <c r="G5" s="6"/>
      <c r="H5" s="6"/>
      <c r="I5" s="6"/>
      <c r="J5" s="6"/>
    </row>
    <row r="6" spans="1:19" x14ac:dyDescent="0.4">
      <c r="A6" s="6" t="s">
        <v>195</v>
      </c>
      <c r="B6" s="6"/>
      <c r="C6" s="6"/>
      <c r="D6" s="6"/>
      <c r="E6" s="6"/>
      <c r="F6" s="6"/>
      <c r="G6" s="6"/>
      <c r="H6" s="6"/>
      <c r="I6" s="6"/>
      <c r="J6" s="6"/>
    </row>
    <row r="7" spans="1:19" x14ac:dyDescent="0.4">
      <c r="A7" s="6" t="s">
        <v>196</v>
      </c>
      <c r="B7" s="6"/>
      <c r="C7" s="6"/>
      <c r="D7" s="6"/>
      <c r="E7" s="6"/>
      <c r="F7" s="6"/>
      <c r="G7" s="6"/>
      <c r="H7" s="6"/>
      <c r="I7" s="6"/>
      <c r="J7" s="6"/>
    </row>
    <row r="8" spans="1:19" x14ac:dyDescent="0.4">
      <c r="A8" s="6" t="s">
        <v>197</v>
      </c>
      <c r="B8" s="6"/>
      <c r="C8" s="6"/>
      <c r="D8" s="6"/>
      <c r="E8" s="6"/>
      <c r="F8" s="6"/>
      <c r="G8" s="6"/>
      <c r="H8" s="6"/>
      <c r="I8" s="6"/>
      <c r="J8" s="6"/>
    </row>
    <row r="9" spans="1:19" x14ac:dyDescent="0.4">
      <c r="A9" s="6" t="s">
        <v>90</v>
      </c>
      <c r="B9" s="6"/>
      <c r="C9" s="6"/>
      <c r="D9" s="6"/>
      <c r="E9" s="6"/>
      <c r="F9" s="6"/>
      <c r="G9" s="6"/>
      <c r="H9" s="6"/>
      <c r="I9" s="6"/>
      <c r="J9" s="6"/>
    </row>
    <row r="11" spans="1:19" x14ac:dyDescent="0.4">
      <c r="A11" s="7" t="s">
        <v>49</v>
      </c>
      <c r="B11" s="7"/>
      <c r="C11" s="7"/>
      <c r="D11" s="7"/>
      <c r="E11" s="7"/>
      <c r="F11" s="7"/>
      <c r="G11" s="7"/>
      <c r="H11" s="7"/>
      <c r="I11" s="7"/>
      <c r="J11" s="7"/>
      <c r="K11" s="7"/>
      <c r="L11" s="7"/>
      <c r="M11" s="7"/>
      <c r="N11" s="7"/>
      <c r="O11" s="7"/>
      <c r="P11" s="7"/>
      <c r="Q11" s="7"/>
      <c r="R11" s="7"/>
      <c r="S11" s="7"/>
    </row>
    <row r="12" spans="1:19" x14ac:dyDescent="0.4">
      <c r="A12" s="8" t="s">
        <v>91</v>
      </c>
      <c r="B12" s="8"/>
      <c r="C12" s="8"/>
      <c r="D12" s="8"/>
      <c r="E12" s="8"/>
      <c r="F12" s="8"/>
      <c r="G12" s="8"/>
      <c r="H12" s="8"/>
      <c r="I12" s="8"/>
      <c r="J12" s="8"/>
      <c r="K12" s="8"/>
      <c r="L12" s="8"/>
      <c r="M12" s="8"/>
      <c r="N12" s="8"/>
      <c r="O12" s="8"/>
      <c r="P12" s="8"/>
      <c r="Q12" s="8"/>
      <c r="R12" s="8"/>
      <c r="S12" s="8"/>
    </row>
    <row r="13" spans="1:19" x14ac:dyDescent="0.4">
      <c r="A13" s="8"/>
      <c r="B13" s="8"/>
      <c r="C13" s="8"/>
      <c r="D13" s="8"/>
      <c r="E13" s="8"/>
      <c r="F13" s="8"/>
      <c r="G13" s="8"/>
      <c r="H13" s="8"/>
      <c r="I13" s="8"/>
      <c r="J13" s="8"/>
      <c r="K13" s="8"/>
      <c r="L13" s="8"/>
      <c r="M13" s="8"/>
      <c r="N13" s="8"/>
      <c r="O13" s="8"/>
      <c r="P13" s="8"/>
      <c r="Q13" s="8"/>
      <c r="R13" s="8"/>
      <c r="S13" s="8"/>
    </row>
    <row r="14" spans="1:19" x14ac:dyDescent="0.4">
      <c r="A14" s="8" t="s">
        <v>92</v>
      </c>
      <c r="B14" s="8"/>
      <c r="C14" s="8"/>
      <c r="D14" s="8"/>
      <c r="E14" s="8"/>
      <c r="F14" s="8"/>
      <c r="G14" s="8"/>
      <c r="H14" s="8"/>
      <c r="I14" s="8"/>
      <c r="J14" s="8"/>
      <c r="K14" s="8"/>
      <c r="L14" s="8"/>
      <c r="M14" s="8"/>
      <c r="N14" s="8"/>
      <c r="O14" s="8"/>
      <c r="P14" s="8"/>
      <c r="Q14" s="8"/>
      <c r="R14" s="8"/>
      <c r="S14" s="8"/>
    </row>
    <row r="15" spans="1:19" x14ac:dyDescent="0.4">
      <c r="A15" s="8"/>
      <c r="B15" s="8"/>
      <c r="C15" s="8"/>
      <c r="D15" s="8"/>
      <c r="E15" s="8"/>
      <c r="F15" s="8"/>
      <c r="G15" s="8"/>
      <c r="H15" s="8"/>
      <c r="I15" s="8"/>
      <c r="J15" s="8"/>
      <c r="K15" s="8"/>
      <c r="L15" s="8"/>
      <c r="M15" s="8"/>
      <c r="N15" s="8"/>
      <c r="O15" s="8"/>
      <c r="P15" s="8"/>
      <c r="Q15" s="8"/>
      <c r="R15" s="8"/>
      <c r="S15" s="8"/>
    </row>
    <row r="16" spans="1:19" x14ac:dyDescent="0.4">
      <c r="A16" s="8" t="s">
        <v>93</v>
      </c>
      <c r="B16" s="8"/>
      <c r="C16" s="8"/>
      <c r="D16" s="8"/>
      <c r="E16" s="8"/>
      <c r="F16" s="8"/>
      <c r="G16" s="8"/>
      <c r="H16" s="8"/>
      <c r="I16" s="8"/>
      <c r="J16" s="8"/>
      <c r="K16" s="8"/>
      <c r="L16" s="8"/>
      <c r="M16" s="8"/>
      <c r="N16" s="8"/>
      <c r="O16" s="8"/>
      <c r="P16" s="8"/>
      <c r="Q16" s="8"/>
      <c r="R16" s="8"/>
      <c r="S16" s="8"/>
    </row>
    <row r="17" spans="1:19" x14ac:dyDescent="0.4">
      <c r="A17" s="8"/>
      <c r="B17" s="8"/>
      <c r="C17" s="8"/>
      <c r="D17" s="8"/>
      <c r="E17" s="8"/>
      <c r="F17" s="8"/>
      <c r="G17" s="8"/>
      <c r="H17" s="8"/>
      <c r="I17" s="8"/>
      <c r="J17" s="8"/>
      <c r="K17" s="8"/>
      <c r="L17" s="8"/>
      <c r="M17" s="8"/>
      <c r="N17" s="8"/>
      <c r="O17" s="8"/>
      <c r="P17" s="8"/>
      <c r="Q17" s="8"/>
      <c r="R17" s="8"/>
      <c r="S17" s="8"/>
    </row>
    <row r="18" spans="1:19" x14ac:dyDescent="0.4">
      <c r="A18" s="8" t="s">
        <v>94</v>
      </c>
      <c r="B18" s="8"/>
      <c r="C18" s="8"/>
      <c r="D18" s="8"/>
      <c r="E18" s="8"/>
      <c r="F18" s="8"/>
      <c r="G18" s="8"/>
      <c r="H18" s="8"/>
      <c r="I18" s="8"/>
      <c r="J18" s="8"/>
      <c r="K18" s="8"/>
      <c r="L18" s="8"/>
      <c r="M18" s="8"/>
      <c r="N18" s="8"/>
      <c r="O18" s="8"/>
      <c r="P18" s="8"/>
      <c r="Q18" s="8"/>
      <c r="R18" s="8"/>
      <c r="S18" s="8"/>
    </row>
    <row r="19" spans="1:19" x14ac:dyDescent="0.4">
      <c r="A19" s="8" t="s">
        <v>95</v>
      </c>
      <c r="B19" s="8"/>
      <c r="C19" s="8"/>
      <c r="D19" s="8"/>
      <c r="E19" s="8"/>
      <c r="F19" s="8"/>
      <c r="G19" s="8"/>
      <c r="H19" s="8"/>
      <c r="I19" s="8"/>
      <c r="J19" s="8"/>
      <c r="K19" s="8"/>
      <c r="L19" s="8"/>
      <c r="M19" s="8"/>
      <c r="N19" s="8"/>
      <c r="O19" s="8"/>
      <c r="P19" s="8"/>
      <c r="Q19" s="8"/>
      <c r="R19" s="8"/>
      <c r="S19" s="8"/>
    </row>
    <row r="20" spans="1:19" x14ac:dyDescent="0.4">
      <c r="A20" s="8" t="s">
        <v>96</v>
      </c>
      <c r="B20" s="8"/>
      <c r="C20" s="8"/>
      <c r="D20" s="8"/>
      <c r="E20" s="8"/>
      <c r="F20" s="8"/>
      <c r="G20" s="8"/>
      <c r="H20" s="8"/>
      <c r="I20" s="8"/>
      <c r="J20" s="8"/>
      <c r="K20" s="8"/>
      <c r="L20" s="8"/>
      <c r="M20" s="8"/>
      <c r="N20" s="8"/>
      <c r="O20" s="8"/>
      <c r="P20" s="8"/>
      <c r="Q20" s="8"/>
      <c r="R20" s="8"/>
      <c r="S20" s="8"/>
    </row>
    <row r="21" spans="1:19" x14ac:dyDescent="0.4">
      <c r="A21" s="8" t="s">
        <v>97</v>
      </c>
      <c r="B21" s="8"/>
      <c r="C21" s="8"/>
      <c r="D21" s="8"/>
      <c r="E21" s="8"/>
      <c r="F21" s="8"/>
      <c r="G21" s="8"/>
      <c r="H21" s="8"/>
      <c r="I21" s="8"/>
      <c r="J21" s="8"/>
      <c r="K21" s="8"/>
      <c r="L21" s="8"/>
      <c r="M21" s="8"/>
      <c r="N21" s="8"/>
      <c r="O21" s="8"/>
      <c r="P21" s="8"/>
      <c r="Q21" s="8"/>
      <c r="R21" s="8"/>
      <c r="S21" s="8"/>
    </row>
    <row r="22" spans="1:19" x14ac:dyDescent="0.4">
      <c r="A22" s="8" t="s">
        <v>98</v>
      </c>
      <c r="B22" s="8"/>
      <c r="C22" s="8"/>
      <c r="D22" s="8"/>
      <c r="E22" s="8"/>
      <c r="F22" s="8"/>
      <c r="G22" s="8"/>
      <c r="H22" s="8"/>
      <c r="I22" s="8"/>
      <c r="J22" s="8"/>
      <c r="K22" s="8"/>
      <c r="L22" s="8"/>
      <c r="M22" s="8"/>
      <c r="N22" s="8"/>
      <c r="O22" s="8"/>
      <c r="P22" s="8"/>
      <c r="Q22" s="8"/>
      <c r="R22" s="8"/>
      <c r="S22" s="8"/>
    </row>
    <row r="23" spans="1:19" x14ac:dyDescent="0.4">
      <c r="A23" s="8" t="s">
        <v>99</v>
      </c>
      <c r="B23" s="8"/>
      <c r="C23" s="8"/>
      <c r="D23" s="8"/>
      <c r="E23" s="8"/>
      <c r="F23" s="8"/>
      <c r="G23" s="8"/>
      <c r="H23" s="8"/>
      <c r="I23" s="8"/>
      <c r="J23" s="8"/>
      <c r="K23" s="8"/>
      <c r="L23" s="8"/>
      <c r="M23" s="8"/>
      <c r="N23" s="8"/>
      <c r="O23" s="8"/>
      <c r="P23" s="8"/>
      <c r="Q23" s="8"/>
      <c r="R23" s="8"/>
      <c r="S23" s="8"/>
    </row>
    <row r="24" spans="1:19" x14ac:dyDescent="0.4">
      <c r="A24" s="8" t="s">
        <v>100</v>
      </c>
      <c r="B24" s="8"/>
      <c r="C24" s="8"/>
      <c r="D24" s="8"/>
      <c r="E24" s="8"/>
      <c r="F24" s="8"/>
      <c r="G24" s="8"/>
      <c r="H24" s="8"/>
      <c r="I24" s="8"/>
      <c r="J24" s="8"/>
      <c r="K24" s="8"/>
      <c r="L24" s="8"/>
      <c r="M24" s="8"/>
      <c r="N24" s="8"/>
      <c r="O24" s="8"/>
      <c r="P24" s="8"/>
      <c r="Q24" s="8"/>
      <c r="R24" s="8"/>
      <c r="S24" s="8"/>
    </row>
    <row r="25" spans="1:19" x14ac:dyDescent="0.4">
      <c r="A25" s="8" t="s">
        <v>101</v>
      </c>
      <c r="B25" s="8"/>
      <c r="C25" s="8"/>
      <c r="D25" s="8"/>
      <c r="E25" s="8"/>
      <c r="F25" s="8"/>
      <c r="G25" s="8"/>
      <c r="H25" s="8"/>
      <c r="I25" s="8"/>
      <c r="J25" s="8"/>
      <c r="K25" s="8"/>
      <c r="L25" s="8"/>
      <c r="M25" s="8"/>
      <c r="N25" s="8"/>
      <c r="O25" s="8"/>
      <c r="P25" s="8"/>
      <c r="Q25" s="8"/>
      <c r="R25" s="8"/>
      <c r="S25" s="8"/>
    </row>
    <row r="26" spans="1:19" x14ac:dyDescent="0.4">
      <c r="A26" s="8" t="s">
        <v>102</v>
      </c>
      <c r="B26" s="8"/>
      <c r="C26" s="8"/>
      <c r="D26" s="8"/>
      <c r="E26" s="8"/>
      <c r="F26" s="8"/>
      <c r="G26" s="8"/>
      <c r="H26" s="8"/>
      <c r="I26" s="8"/>
      <c r="J26" s="8"/>
      <c r="K26" s="8"/>
      <c r="L26" s="8"/>
      <c r="M26" s="8"/>
      <c r="N26" s="8"/>
      <c r="O26" s="8"/>
      <c r="P26" s="8"/>
      <c r="Q26" s="8"/>
      <c r="R26" s="8"/>
      <c r="S26" s="8"/>
    </row>
    <row r="27" spans="1:19" x14ac:dyDescent="0.4">
      <c r="A27" s="8"/>
      <c r="B27" s="8"/>
      <c r="C27" s="8"/>
      <c r="D27" s="8"/>
      <c r="E27" s="8"/>
      <c r="F27" s="8"/>
      <c r="G27" s="8"/>
      <c r="H27" s="8"/>
      <c r="I27" s="8"/>
      <c r="J27" s="8"/>
      <c r="K27" s="8"/>
      <c r="L27" s="8"/>
      <c r="M27" s="8"/>
      <c r="N27" s="8"/>
      <c r="O27" s="8"/>
      <c r="P27" s="8"/>
      <c r="Q27" s="8"/>
      <c r="R27" s="8"/>
      <c r="S27" s="8"/>
    </row>
    <row r="28" spans="1:19" x14ac:dyDescent="0.4">
      <c r="A28" s="8" t="s">
        <v>103</v>
      </c>
      <c r="B28" s="8"/>
      <c r="C28" s="8"/>
      <c r="D28" s="8"/>
      <c r="E28" s="8"/>
      <c r="F28" s="8"/>
      <c r="G28" s="8"/>
      <c r="H28" s="8"/>
      <c r="I28" s="8"/>
      <c r="J28" s="8"/>
      <c r="K28" s="8"/>
      <c r="L28" s="8"/>
      <c r="M28" s="8"/>
      <c r="N28" s="8"/>
      <c r="O28" s="8"/>
      <c r="P28" s="8"/>
      <c r="Q28" s="8"/>
      <c r="R28" s="8"/>
      <c r="S28" s="8"/>
    </row>
    <row r="29" spans="1:19" x14ac:dyDescent="0.4">
      <c r="A29" s="8" t="s">
        <v>104</v>
      </c>
      <c r="B29" s="8"/>
      <c r="C29" s="8"/>
      <c r="D29" s="8"/>
      <c r="E29" s="8"/>
      <c r="F29" s="8"/>
      <c r="G29" s="8"/>
      <c r="H29" s="8"/>
      <c r="I29" s="8"/>
      <c r="J29" s="8"/>
      <c r="K29" s="8"/>
      <c r="L29" s="8"/>
      <c r="M29" s="8"/>
      <c r="N29" s="8"/>
      <c r="O29" s="8"/>
      <c r="P29" s="8"/>
      <c r="Q29" s="8"/>
      <c r="R29" s="8"/>
      <c r="S29" s="8"/>
    </row>
    <row r="30" spans="1:19" x14ac:dyDescent="0.4">
      <c r="A30" s="8" t="s">
        <v>105</v>
      </c>
      <c r="B30" s="8"/>
      <c r="C30" s="8"/>
      <c r="D30" s="8"/>
      <c r="E30" s="8"/>
      <c r="F30" s="8"/>
      <c r="G30" s="8"/>
      <c r="H30" s="8"/>
      <c r="I30" s="8"/>
      <c r="J30" s="8"/>
      <c r="K30" s="8"/>
      <c r="L30" s="8"/>
      <c r="M30" s="8"/>
      <c r="N30" s="8"/>
      <c r="O30" s="8"/>
      <c r="P30" s="8"/>
      <c r="Q30" s="8"/>
      <c r="R30" s="8"/>
      <c r="S30" s="8"/>
    </row>
    <row r="31" spans="1:19" x14ac:dyDescent="0.4">
      <c r="A31" s="8" t="s">
        <v>106</v>
      </c>
      <c r="B31" s="8"/>
      <c r="C31" s="8"/>
      <c r="D31" s="8"/>
      <c r="E31" s="8"/>
      <c r="F31" s="8"/>
      <c r="G31" s="8"/>
      <c r="H31" s="8"/>
      <c r="I31" s="8"/>
      <c r="J31" s="8"/>
      <c r="K31" s="8"/>
      <c r="L31" s="8"/>
      <c r="M31" s="8"/>
      <c r="N31" s="8"/>
      <c r="O31" s="8"/>
      <c r="P31" s="8"/>
      <c r="Q31" s="8"/>
      <c r="R31" s="8"/>
      <c r="S31" s="8"/>
    </row>
    <row r="32" spans="1:19" x14ac:dyDescent="0.4">
      <c r="A32" s="8" t="s">
        <v>107</v>
      </c>
      <c r="B32" s="8"/>
      <c r="C32" s="8"/>
      <c r="D32" s="8"/>
      <c r="E32" s="8"/>
      <c r="F32" s="8"/>
      <c r="G32" s="8"/>
      <c r="H32" s="8"/>
      <c r="I32" s="8"/>
      <c r="J32" s="8"/>
      <c r="K32" s="8"/>
      <c r="L32" s="8"/>
      <c r="M32" s="8"/>
      <c r="N32" s="8"/>
      <c r="O32" s="8"/>
      <c r="P32" s="8"/>
      <c r="Q32" s="8"/>
      <c r="R32" s="8"/>
      <c r="S32" s="8"/>
    </row>
    <row r="33" spans="1:19" x14ac:dyDescent="0.4">
      <c r="A33" s="8" t="s">
        <v>108</v>
      </c>
      <c r="B33" s="8"/>
      <c r="C33" s="8"/>
      <c r="D33" s="8"/>
      <c r="E33" s="8"/>
      <c r="F33" s="8"/>
      <c r="G33" s="8"/>
      <c r="H33" s="8"/>
      <c r="I33" s="8"/>
      <c r="J33" s="8"/>
      <c r="K33" s="8"/>
      <c r="L33" s="8"/>
      <c r="M33" s="8"/>
      <c r="N33" s="8"/>
      <c r="O33" s="8"/>
      <c r="P33" s="8"/>
      <c r="Q33" s="8"/>
      <c r="R33" s="8"/>
      <c r="S33" s="8"/>
    </row>
    <row r="34" spans="1:19" x14ac:dyDescent="0.4">
      <c r="A34" s="8" t="s">
        <v>109</v>
      </c>
      <c r="B34" s="8"/>
      <c r="C34" s="8"/>
      <c r="D34" s="8"/>
      <c r="E34" s="8"/>
      <c r="F34" s="8"/>
      <c r="G34" s="8"/>
      <c r="H34" s="8"/>
      <c r="I34" s="8"/>
      <c r="J34" s="8"/>
      <c r="K34" s="8"/>
      <c r="L34" s="8"/>
      <c r="M34" s="8"/>
      <c r="N34" s="8"/>
      <c r="O34" s="8"/>
      <c r="P34" s="8"/>
      <c r="Q34" s="8"/>
      <c r="R34" s="8"/>
      <c r="S34" s="8"/>
    </row>
    <row r="35" spans="1:19" x14ac:dyDescent="0.4">
      <c r="A35" s="8" t="s">
        <v>110</v>
      </c>
      <c r="B35" s="8"/>
      <c r="C35" s="8"/>
      <c r="D35" s="8"/>
      <c r="E35" s="8"/>
      <c r="F35" s="8"/>
      <c r="G35" s="8"/>
      <c r="H35" s="8"/>
      <c r="I35" s="8"/>
      <c r="J35" s="8"/>
      <c r="K35" s="8"/>
      <c r="L35" s="8"/>
      <c r="M35" s="8"/>
      <c r="N35" s="8"/>
      <c r="O35" s="8"/>
      <c r="P35" s="8"/>
      <c r="Q35" s="8"/>
      <c r="R35" s="8"/>
      <c r="S35" s="8"/>
    </row>
    <row r="36" spans="1:19" x14ac:dyDescent="0.4">
      <c r="A36" s="8" t="s">
        <v>111</v>
      </c>
      <c r="B36" s="8"/>
      <c r="C36" s="8"/>
      <c r="D36" s="8"/>
      <c r="E36" s="8"/>
      <c r="F36" s="8"/>
      <c r="G36" s="8"/>
      <c r="H36" s="8"/>
      <c r="I36" s="8"/>
      <c r="J36" s="8"/>
      <c r="K36" s="8"/>
      <c r="L36" s="8"/>
      <c r="M36" s="8"/>
      <c r="N36" s="8"/>
      <c r="O36" s="8"/>
      <c r="P36" s="8"/>
      <c r="Q36" s="8"/>
      <c r="R36" s="8"/>
      <c r="S36" s="8"/>
    </row>
    <row r="37" spans="1:19" x14ac:dyDescent="0.4">
      <c r="A37" s="8"/>
      <c r="B37" s="8"/>
      <c r="C37" s="8"/>
      <c r="D37" s="8"/>
      <c r="E37" s="8"/>
      <c r="F37" s="8"/>
      <c r="G37" s="8"/>
      <c r="H37" s="8"/>
      <c r="I37" s="8"/>
      <c r="J37" s="8"/>
      <c r="K37" s="8"/>
      <c r="L37" s="8"/>
      <c r="M37" s="8"/>
      <c r="N37" s="8"/>
      <c r="O37" s="8"/>
      <c r="P37" s="8"/>
      <c r="Q37" s="8"/>
      <c r="R37" s="8"/>
      <c r="S37" s="8"/>
    </row>
    <row r="38" spans="1:19" x14ac:dyDescent="0.4">
      <c r="A38" s="8" t="s">
        <v>112</v>
      </c>
      <c r="B38" s="8"/>
      <c r="C38" s="8"/>
      <c r="D38" s="8"/>
      <c r="E38" s="8"/>
      <c r="F38" s="8"/>
      <c r="G38" s="8"/>
      <c r="H38" s="8"/>
      <c r="I38" s="8"/>
      <c r="J38" s="8"/>
      <c r="K38" s="8"/>
      <c r="L38" s="8"/>
      <c r="M38" s="8"/>
      <c r="N38" s="8"/>
      <c r="O38" s="8"/>
      <c r="P38" s="8"/>
      <c r="Q38" s="8"/>
      <c r="R38" s="8"/>
      <c r="S38" s="8"/>
    </row>
    <row r="39" spans="1:19" x14ac:dyDescent="0.4">
      <c r="A39" s="8" t="s">
        <v>113</v>
      </c>
      <c r="B39" s="8"/>
      <c r="C39" s="8"/>
      <c r="D39" s="8"/>
      <c r="E39" s="8"/>
      <c r="F39" s="8"/>
      <c r="G39" s="8"/>
      <c r="H39" s="8"/>
      <c r="I39" s="8"/>
      <c r="J39" s="8"/>
      <c r="K39" s="8"/>
      <c r="L39" s="8"/>
      <c r="M39" s="8"/>
      <c r="N39" s="8"/>
      <c r="O39" s="8"/>
      <c r="P39" s="8"/>
      <c r="Q39" s="8"/>
      <c r="R39" s="8"/>
      <c r="S39" s="8"/>
    </row>
    <row r="40" spans="1:19" x14ac:dyDescent="0.4">
      <c r="A40" s="8" t="s">
        <v>114</v>
      </c>
      <c r="B40" s="8"/>
      <c r="C40" s="8"/>
      <c r="D40" s="8"/>
      <c r="E40" s="8"/>
      <c r="F40" s="8"/>
      <c r="G40" s="8"/>
      <c r="H40" s="8"/>
      <c r="I40" s="8"/>
      <c r="J40" s="8"/>
      <c r="K40" s="8"/>
      <c r="L40" s="8"/>
      <c r="M40" s="8"/>
      <c r="N40" s="8"/>
      <c r="O40" s="8"/>
      <c r="P40" s="8"/>
      <c r="Q40" s="8"/>
      <c r="R40" s="8"/>
      <c r="S40" s="8"/>
    </row>
    <row r="41" spans="1:19" x14ac:dyDescent="0.4">
      <c r="A41" s="8" t="s">
        <v>115</v>
      </c>
      <c r="B41" s="8"/>
      <c r="C41" s="8"/>
      <c r="D41" s="8"/>
      <c r="E41" s="8"/>
      <c r="F41" s="8"/>
      <c r="G41" s="8"/>
      <c r="H41" s="8"/>
      <c r="I41" s="8"/>
      <c r="J41" s="8"/>
      <c r="K41" s="8"/>
      <c r="L41" s="8"/>
      <c r="M41" s="8"/>
      <c r="N41" s="8"/>
      <c r="O41" s="8"/>
      <c r="P41" s="8"/>
      <c r="Q41" s="8"/>
      <c r="R41" s="8"/>
      <c r="S41" s="8"/>
    </row>
    <row r="42" spans="1:19" x14ac:dyDescent="0.4">
      <c r="A42" s="8" t="s">
        <v>116</v>
      </c>
      <c r="B42" s="8"/>
      <c r="C42" s="8"/>
      <c r="D42" s="8"/>
      <c r="E42" s="8"/>
      <c r="F42" s="8"/>
      <c r="G42" s="8"/>
      <c r="H42" s="8"/>
      <c r="I42" s="8"/>
      <c r="J42" s="8"/>
      <c r="K42" s="8"/>
      <c r="L42" s="8"/>
      <c r="M42" s="8"/>
      <c r="N42" s="8"/>
      <c r="O42" s="8"/>
      <c r="P42" s="8"/>
      <c r="Q42" s="8"/>
      <c r="R42" s="8"/>
      <c r="S42" s="8"/>
    </row>
    <row r="43" spans="1:19" x14ac:dyDescent="0.4">
      <c r="A43" s="8" t="s">
        <v>117</v>
      </c>
      <c r="B43" s="8"/>
      <c r="C43" s="8"/>
      <c r="D43" s="8"/>
      <c r="E43" s="8"/>
      <c r="F43" s="8"/>
      <c r="G43" s="8"/>
      <c r="H43" s="8"/>
      <c r="I43" s="8"/>
      <c r="J43" s="8"/>
      <c r="K43" s="8"/>
      <c r="L43" s="8"/>
      <c r="M43" s="8"/>
      <c r="N43" s="8"/>
      <c r="O43" s="8"/>
      <c r="P43" s="8"/>
      <c r="Q43" s="8"/>
      <c r="R43" s="8"/>
      <c r="S43" s="8"/>
    </row>
    <row r="44" spans="1:19" x14ac:dyDescent="0.4">
      <c r="A44" s="8" t="s">
        <v>118</v>
      </c>
      <c r="B44" s="8"/>
      <c r="C44" s="8"/>
      <c r="D44" s="8"/>
      <c r="E44" s="8"/>
      <c r="F44" s="8"/>
      <c r="G44" s="8"/>
      <c r="H44" s="8"/>
      <c r="I44" s="8"/>
      <c r="J44" s="8"/>
      <c r="K44" s="8"/>
      <c r="L44" s="8"/>
      <c r="M44" s="8"/>
      <c r="N44" s="8"/>
      <c r="O44" s="8"/>
      <c r="P44" s="8"/>
      <c r="Q44" s="8"/>
      <c r="R44" s="8"/>
      <c r="S44" s="8"/>
    </row>
    <row r="45" spans="1:19" x14ac:dyDescent="0.4">
      <c r="A45" s="8" t="s">
        <v>119</v>
      </c>
      <c r="B45" s="8"/>
      <c r="C45" s="8"/>
      <c r="D45" s="8"/>
      <c r="E45" s="8"/>
      <c r="F45" s="8"/>
      <c r="G45" s="8"/>
      <c r="H45" s="8"/>
      <c r="I45" s="8"/>
      <c r="J45" s="8"/>
      <c r="K45" s="8"/>
      <c r="L45" s="8"/>
      <c r="M45" s="8"/>
      <c r="N45" s="8"/>
      <c r="O45" s="8"/>
      <c r="P45" s="8"/>
      <c r="Q45" s="8"/>
      <c r="R45" s="8"/>
      <c r="S45" s="8"/>
    </row>
    <row r="46" spans="1:19" x14ac:dyDescent="0.4">
      <c r="A46" s="8" t="s">
        <v>120</v>
      </c>
      <c r="B46" s="8"/>
      <c r="C46" s="8"/>
      <c r="D46" s="8"/>
      <c r="E46" s="8"/>
      <c r="F46" s="8"/>
      <c r="G46" s="8"/>
      <c r="H46" s="8"/>
      <c r="I46" s="8"/>
      <c r="J46" s="8"/>
      <c r="K46" s="8"/>
      <c r="L46" s="8"/>
      <c r="M46" s="8"/>
      <c r="N46" s="8"/>
      <c r="O46" s="8"/>
      <c r="P46" s="8"/>
      <c r="Q46" s="8"/>
      <c r="R46" s="8"/>
      <c r="S46" s="8"/>
    </row>
    <row r="47" spans="1:19" x14ac:dyDescent="0.4">
      <c r="A47" s="8"/>
      <c r="B47" s="8"/>
      <c r="C47" s="8"/>
      <c r="D47" s="8"/>
      <c r="E47" s="8"/>
      <c r="F47" s="8"/>
      <c r="G47" s="8"/>
      <c r="H47" s="8"/>
      <c r="I47" s="8"/>
      <c r="J47" s="8"/>
      <c r="K47" s="8"/>
      <c r="L47" s="8"/>
      <c r="M47" s="8"/>
      <c r="N47" s="8"/>
      <c r="O47" s="8"/>
      <c r="P47" s="8"/>
      <c r="Q47" s="8"/>
      <c r="R47" s="8"/>
      <c r="S47" s="8"/>
    </row>
    <row r="48" spans="1:19" x14ac:dyDescent="0.4">
      <c r="A48" s="8" t="s">
        <v>121</v>
      </c>
      <c r="B48" s="8"/>
      <c r="C48" s="8"/>
      <c r="D48" s="8"/>
      <c r="E48" s="8"/>
      <c r="F48" s="8"/>
      <c r="G48" s="8"/>
      <c r="H48" s="8"/>
      <c r="I48" s="8"/>
      <c r="J48" s="8"/>
      <c r="K48" s="8"/>
      <c r="L48" s="8"/>
      <c r="M48" s="8"/>
      <c r="N48" s="8"/>
      <c r="O48" s="8"/>
      <c r="P48" s="8"/>
      <c r="Q48" s="8"/>
      <c r="R48" s="8"/>
      <c r="S48" s="8"/>
    </row>
    <row r="49" spans="1:21" x14ac:dyDescent="0.4">
      <c r="A49" s="8"/>
      <c r="B49" s="8"/>
      <c r="C49" s="8"/>
      <c r="D49" s="8"/>
      <c r="E49" s="8"/>
      <c r="F49" s="8"/>
      <c r="G49" s="8"/>
      <c r="H49" s="8"/>
      <c r="I49" s="8"/>
      <c r="J49" s="8"/>
      <c r="K49" s="8"/>
      <c r="L49" s="8"/>
      <c r="M49" s="8"/>
      <c r="N49" s="8"/>
      <c r="O49" s="8"/>
      <c r="P49" s="8"/>
      <c r="Q49" s="8"/>
      <c r="R49" s="8"/>
      <c r="S49" s="8"/>
    </row>
    <row r="50" spans="1:21" x14ac:dyDescent="0.4">
      <c r="A50" s="8" t="s">
        <v>122</v>
      </c>
      <c r="B50" s="8"/>
      <c r="C50" s="8"/>
      <c r="D50" s="8"/>
      <c r="E50" s="8"/>
      <c r="F50" s="8"/>
      <c r="G50" s="8"/>
      <c r="H50" s="8"/>
      <c r="I50" s="8"/>
      <c r="J50" s="8"/>
      <c r="K50" s="8"/>
      <c r="L50" s="8"/>
      <c r="M50" s="8"/>
      <c r="N50" s="8"/>
      <c r="O50" s="8"/>
      <c r="P50" s="8"/>
      <c r="Q50" s="8"/>
      <c r="R50" s="8"/>
      <c r="S50" s="8"/>
    </row>
    <row r="51" spans="1:21" x14ac:dyDescent="0.4">
      <c r="A51" s="8" t="s">
        <v>123</v>
      </c>
      <c r="B51" s="8"/>
      <c r="C51" s="8"/>
      <c r="D51" s="8"/>
      <c r="E51" s="8"/>
      <c r="F51" s="8"/>
      <c r="G51" s="8"/>
      <c r="H51" s="8"/>
      <c r="I51" s="8"/>
      <c r="J51" s="8"/>
      <c r="K51" s="8"/>
      <c r="L51" s="8"/>
      <c r="M51" s="8"/>
      <c r="N51" s="8"/>
      <c r="O51" s="8"/>
      <c r="P51" s="8"/>
      <c r="Q51" s="8"/>
      <c r="R51" s="8"/>
      <c r="S51" s="8"/>
    </row>
    <row r="52" spans="1:21" x14ac:dyDescent="0.4">
      <c r="A52" s="8" t="e" cm="1">
        <f t="array" ref="A52">- 請根據任務具體需求選擇適合的模組。</f>
        <v>#NAME?</v>
      </c>
      <c r="B52" s="8"/>
      <c r="C52" s="8"/>
      <c r="D52" s="8"/>
      <c r="E52" s="8"/>
      <c r="F52" s="8"/>
      <c r="G52" s="8"/>
      <c r="H52" s="8"/>
      <c r="I52" s="8"/>
      <c r="J52" s="8"/>
      <c r="K52" s="8"/>
      <c r="L52" s="8"/>
      <c r="M52" s="8"/>
      <c r="N52" s="8"/>
      <c r="O52" s="8"/>
      <c r="P52" s="8"/>
      <c r="Q52" s="8"/>
      <c r="R52" s="8"/>
      <c r="S52" s="8"/>
    </row>
    <row r="53" spans="1:21" x14ac:dyDescent="0.4">
      <c r="A53" s="8"/>
      <c r="B53" s="8"/>
      <c r="C53" s="8"/>
      <c r="D53" s="8"/>
      <c r="E53" s="8"/>
      <c r="F53" s="8"/>
      <c r="G53" s="8"/>
      <c r="H53" s="8"/>
      <c r="I53" s="8"/>
      <c r="J53" s="8"/>
      <c r="K53" s="8"/>
      <c r="L53" s="8"/>
      <c r="M53" s="8"/>
      <c r="N53" s="8"/>
      <c r="O53" s="8"/>
      <c r="P53" s="8"/>
      <c r="Q53" s="8"/>
      <c r="R53" s="8"/>
      <c r="S53" s="8"/>
    </row>
    <row r="54" spans="1:21" x14ac:dyDescent="0.4">
      <c r="A54" s="8" t="s">
        <v>124</v>
      </c>
      <c r="B54" s="8"/>
      <c r="C54" s="8"/>
      <c r="D54" s="8"/>
      <c r="E54" s="8"/>
      <c r="F54" s="8"/>
      <c r="G54" s="8"/>
      <c r="H54" s="8"/>
      <c r="I54" s="8"/>
      <c r="J54" s="8"/>
      <c r="K54" s="8"/>
      <c r="L54" s="8"/>
      <c r="M54" s="8"/>
      <c r="N54" s="8"/>
      <c r="O54" s="8"/>
      <c r="P54" s="8"/>
      <c r="Q54" s="8"/>
      <c r="R54" s="8"/>
      <c r="S54" s="8"/>
    </row>
    <row r="56" spans="1:21" x14ac:dyDescent="0.4">
      <c r="A56" s="7" t="s">
        <v>50</v>
      </c>
      <c r="B56" s="7"/>
      <c r="C56" s="7"/>
      <c r="D56" s="7"/>
      <c r="E56" s="7"/>
      <c r="F56" s="7"/>
      <c r="G56" s="7"/>
      <c r="H56" s="7"/>
      <c r="I56" s="7"/>
      <c r="J56" s="7"/>
      <c r="K56" s="7"/>
      <c r="L56" s="7"/>
      <c r="M56" s="7"/>
      <c r="N56" s="7"/>
      <c r="O56" s="7"/>
      <c r="P56" s="7"/>
      <c r="Q56" s="7"/>
      <c r="R56" s="7"/>
      <c r="S56" s="7"/>
      <c r="T56" s="7"/>
      <c r="U56" s="7"/>
    </row>
    <row r="57" spans="1:21" x14ac:dyDescent="0.4">
      <c r="A57" s="8" t="s">
        <v>125</v>
      </c>
      <c r="B57" s="8"/>
      <c r="C57" s="8"/>
      <c r="D57" s="8"/>
      <c r="E57" s="8"/>
      <c r="F57" s="8"/>
      <c r="G57" s="8"/>
      <c r="H57" s="8"/>
      <c r="I57" s="8"/>
      <c r="J57" s="8"/>
      <c r="K57" s="8"/>
      <c r="L57" s="8"/>
      <c r="M57" s="8"/>
      <c r="N57" s="8"/>
      <c r="O57" s="8"/>
      <c r="P57" s="8"/>
      <c r="Q57" s="8"/>
      <c r="R57" s="8"/>
      <c r="S57" s="8"/>
      <c r="T57" s="8"/>
      <c r="U57" s="8"/>
    </row>
    <row r="58" spans="1:21" x14ac:dyDescent="0.4">
      <c r="A58" s="8" t="s">
        <v>126</v>
      </c>
      <c r="B58" s="8"/>
      <c r="C58" s="8"/>
      <c r="D58" s="8"/>
      <c r="E58" s="8"/>
      <c r="F58" s="8"/>
      <c r="G58" s="8"/>
      <c r="H58" s="8"/>
      <c r="I58" s="8"/>
      <c r="J58" s="8"/>
      <c r="K58" s="8"/>
      <c r="L58" s="8"/>
      <c r="M58" s="8"/>
      <c r="N58" s="8"/>
      <c r="O58" s="8"/>
      <c r="P58" s="8"/>
      <c r="Q58" s="8"/>
      <c r="R58" s="8"/>
      <c r="S58" s="8"/>
      <c r="T58" s="8"/>
      <c r="U58" s="8"/>
    </row>
    <row r="59" spans="1:21" x14ac:dyDescent="0.4">
      <c r="A59" s="8"/>
      <c r="B59" s="8"/>
      <c r="C59" s="8"/>
      <c r="D59" s="8"/>
      <c r="E59" s="8"/>
      <c r="F59" s="8"/>
      <c r="G59" s="8"/>
      <c r="H59" s="8"/>
      <c r="I59" s="8"/>
      <c r="J59" s="8"/>
      <c r="K59" s="8"/>
      <c r="L59" s="8"/>
      <c r="M59" s="8"/>
      <c r="N59" s="8"/>
      <c r="O59" s="8"/>
      <c r="P59" s="8"/>
      <c r="Q59" s="8"/>
      <c r="R59" s="8"/>
      <c r="S59" s="8"/>
      <c r="T59" s="8"/>
      <c r="U59" s="8"/>
    </row>
    <row r="60" spans="1:21" x14ac:dyDescent="0.4">
      <c r="A60" s="8" t="s">
        <v>127</v>
      </c>
      <c r="B60" s="8"/>
      <c r="C60" s="8"/>
      <c r="D60" s="8"/>
      <c r="E60" s="8"/>
      <c r="F60" s="8"/>
      <c r="G60" s="8"/>
      <c r="H60" s="8"/>
      <c r="I60" s="8"/>
      <c r="J60" s="8"/>
      <c r="K60" s="8"/>
      <c r="L60" s="8"/>
      <c r="M60" s="8"/>
      <c r="N60" s="8"/>
      <c r="O60" s="8"/>
      <c r="P60" s="8"/>
      <c r="Q60" s="8"/>
      <c r="R60" s="8"/>
      <c r="S60" s="8"/>
      <c r="T60" s="8"/>
      <c r="U60" s="8"/>
    </row>
    <row r="61" spans="1:21" x14ac:dyDescent="0.4">
      <c r="A61" s="8" t="e" cm="1">
        <f t="array" ref="A61">- 需要長時間定速巡航</f>
        <v>#NAME?</v>
      </c>
      <c r="B61" s="8"/>
      <c r="C61" s="8"/>
      <c r="D61" s="8"/>
      <c r="E61" s="8"/>
      <c r="F61" s="8"/>
      <c r="G61" s="8"/>
      <c r="H61" s="8"/>
      <c r="I61" s="8"/>
      <c r="J61" s="8"/>
      <c r="K61" s="8"/>
      <c r="L61" s="8"/>
      <c r="M61" s="8"/>
      <c r="N61" s="8"/>
      <c r="O61" s="8"/>
      <c r="P61" s="8"/>
      <c r="Q61" s="8"/>
      <c r="R61" s="8"/>
      <c r="S61" s="8"/>
      <c r="T61" s="8"/>
      <c r="U61" s="8"/>
    </row>
    <row r="62" spans="1:21" x14ac:dyDescent="0.4">
      <c r="A62" s="8" t="e" cm="1">
        <f t="array" ref="A62">- 適合高效率和長時間運作</f>
        <v>#NAME?</v>
      </c>
      <c r="B62" s="8"/>
      <c r="C62" s="8"/>
      <c r="D62" s="8"/>
      <c r="E62" s="8"/>
      <c r="F62" s="8"/>
      <c r="G62" s="8"/>
      <c r="H62" s="8"/>
      <c r="I62" s="8"/>
      <c r="J62" s="8"/>
      <c r="K62" s="8"/>
      <c r="L62" s="8"/>
      <c r="M62" s="8"/>
      <c r="N62" s="8"/>
      <c r="O62" s="8"/>
      <c r="P62" s="8"/>
      <c r="Q62" s="8"/>
      <c r="R62" s="8"/>
      <c r="S62" s="8"/>
      <c r="T62" s="8"/>
      <c r="U62" s="8"/>
    </row>
    <row r="63" spans="1:21" x14ac:dyDescent="0.4">
      <c r="A63" s="8"/>
      <c r="B63" s="8"/>
      <c r="C63" s="8"/>
      <c r="D63" s="8"/>
      <c r="E63" s="8"/>
      <c r="F63" s="8"/>
      <c r="G63" s="8"/>
      <c r="H63" s="8"/>
      <c r="I63" s="8"/>
      <c r="J63" s="8"/>
      <c r="K63" s="8"/>
      <c r="L63" s="8"/>
      <c r="M63" s="8"/>
      <c r="N63" s="8"/>
      <c r="O63" s="8"/>
      <c r="P63" s="8"/>
      <c r="Q63" s="8"/>
      <c r="R63" s="8"/>
      <c r="S63" s="8"/>
      <c r="T63" s="8"/>
      <c r="U63" s="8"/>
    </row>
    <row r="64" spans="1:21" x14ac:dyDescent="0.4">
      <c r="A64" s="8" t="s">
        <v>128</v>
      </c>
      <c r="B64" s="8"/>
      <c r="C64" s="8"/>
      <c r="D64" s="8"/>
      <c r="E64" s="8"/>
      <c r="F64" s="8"/>
      <c r="G64" s="8"/>
      <c r="H64" s="8"/>
      <c r="I64" s="8"/>
      <c r="J64" s="8"/>
      <c r="K64" s="8"/>
      <c r="L64" s="8"/>
      <c r="M64" s="8"/>
      <c r="N64" s="8"/>
      <c r="O64" s="8"/>
      <c r="P64" s="8"/>
      <c r="Q64" s="8"/>
      <c r="R64" s="8"/>
      <c r="S64" s="8"/>
      <c r="T64" s="8"/>
      <c r="U64" s="8"/>
    </row>
    <row r="65" spans="1:21" x14ac:dyDescent="0.4">
      <c r="A65" s="8" t="s">
        <v>4</v>
      </c>
      <c r="B65" s="8"/>
      <c r="C65" s="8"/>
      <c r="D65" s="8"/>
      <c r="E65" s="8"/>
      <c r="F65" s="8"/>
      <c r="G65" s="8"/>
      <c r="H65" s="8"/>
      <c r="I65" s="8"/>
      <c r="J65" s="8"/>
      <c r="K65" s="8"/>
      <c r="L65" s="8"/>
      <c r="M65" s="8"/>
      <c r="N65" s="8"/>
      <c r="O65" s="8"/>
      <c r="P65" s="8"/>
      <c r="Q65" s="8"/>
      <c r="R65" s="8"/>
      <c r="S65" s="8"/>
      <c r="T65" s="8"/>
      <c r="U65" s="8"/>
    </row>
    <row r="66" spans="1:21" x14ac:dyDescent="0.4">
      <c r="A66" s="8" t="s">
        <v>129</v>
      </c>
      <c r="B66" s="8"/>
      <c r="C66" s="8"/>
      <c r="D66" s="8"/>
      <c r="E66" s="8"/>
      <c r="F66" s="8"/>
      <c r="G66" s="8"/>
      <c r="H66" s="8"/>
      <c r="I66" s="8"/>
      <c r="J66" s="8"/>
      <c r="K66" s="8"/>
      <c r="L66" s="8"/>
      <c r="M66" s="8"/>
      <c r="N66" s="8"/>
      <c r="O66" s="8"/>
      <c r="P66" s="8"/>
      <c r="Q66" s="8"/>
      <c r="R66" s="8"/>
      <c r="S66" s="8"/>
      <c r="T66" s="8"/>
      <c r="U66" s="8"/>
    </row>
    <row r="67" spans="1:21" x14ac:dyDescent="0.4">
      <c r="A67" s="8" t="s">
        <v>130</v>
      </c>
      <c r="B67" s="8"/>
      <c r="C67" s="8"/>
      <c r="D67" s="8"/>
      <c r="E67" s="8"/>
      <c r="F67" s="8"/>
      <c r="G67" s="8"/>
      <c r="H67" s="8"/>
      <c r="I67" s="8"/>
      <c r="J67" s="8"/>
      <c r="K67" s="8"/>
      <c r="L67" s="8"/>
      <c r="M67" s="8"/>
      <c r="N67" s="8"/>
      <c r="O67" s="8"/>
      <c r="P67" s="8"/>
      <c r="Q67" s="8"/>
      <c r="R67" s="8"/>
      <c r="S67" s="8"/>
      <c r="T67" s="8"/>
      <c r="U67" s="8"/>
    </row>
    <row r="68" spans="1:21" x14ac:dyDescent="0.4">
      <c r="A68" s="8" t="s">
        <v>131</v>
      </c>
      <c r="B68" s="8"/>
      <c r="C68" s="8"/>
      <c r="D68" s="8"/>
      <c r="E68" s="8"/>
      <c r="F68" s="8"/>
      <c r="G68" s="8"/>
      <c r="H68" s="8"/>
      <c r="I68" s="8"/>
      <c r="J68" s="8"/>
      <c r="K68" s="8"/>
      <c r="L68" s="8"/>
      <c r="M68" s="8"/>
      <c r="N68" s="8"/>
      <c r="O68" s="8"/>
      <c r="P68" s="8"/>
      <c r="Q68" s="8"/>
      <c r="R68" s="8"/>
      <c r="S68" s="8"/>
      <c r="T68" s="8"/>
      <c r="U68" s="8"/>
    </row>
    <row r="69" spans="1:21" x14ac:dyDescent="0.4">
      <c r="A69" s="8" t="s">
        <v>132</v>
      </c>
      <c r="B69" s="8"/>
      <c r="C69" s="8"/>
      <c r="D69" s="8"/>
      <c r="E69" s="8"/>
      <c r="F69" s="8"/>
      <c r="G69" s="8"/>
      <c r="H69" s="8"/>
      <c r="I69" s="8"/>
      <c r="J69" s="8"/>
      <c r="K69" s="8"/>
      <c r="L69" s="8"/>
      <c r="M69" s="8"/>
      <c r="N69" s="8"/>
      <c r="O69" s="8"/>
      <c r="P69" s="8"/>
      <c r="Q69" s="8"/>
      <c r="R69" s="8"/>
      <c r="S69" s="8"/>
      <c r="T69" s="8"/>
      <c r="U69" s="8"/>
    </row>
    <row r="70" spans="1:21" x14ac:dyDescent="0.4">
      <c r="A70" s="8" t="s">
        <v>133</v>
      </c>
      <c r="B70" s="8"/>
      <c r="C70" s="8"/>
      <c r="D70" s="8"/>
      <c r="E70" s="8"/>
      <c r="F70" s="8"/>
      <c r="G70" s="8"/>
      <c r="H70" s="8"/>
      <c r="I70" s="8"/>
      <c r="J70" s="8"/>
      <c r="K70" s="8"/>
      <c r="L70" s="8"/>
      <c r="M70" s="8"/>
      <c r="N70" s="8"/>
      <c r="O70" s="8"/>
      <c r="P70" s="8"/>
      <c r="Q70" s="8"/>
      <c r="R70" s="8"/>
      <c r="S70" s="8"/>
      <c r="T70" s="8"/>
      <c r="U70" s="8"/>
    </row>
    <row r="71" spans="1:21" x14ac:dyDescent="0.4">
      <c r="A71" s="8" t="s">
        <v>134</v>
      </c>
      <c r="B71" s="8"/>
      <c r="C71" s="8"/>
      <c r="D71" s="8"/>
      <c r="E71" s="8"/>
      <c r="F71" s="8"/>
      <c r="G71" s="8"/>
      <c r="H71" s="8"/>
      <c r="I71" s="8"/>
      <c r="J71" s="8"/>
      <c r="K71" s="8"/>
      <c r="L71" s="8"/>
      <c r="M71" s="8"/>
      <c r="N71" s="8"/>
      <c r="O71" s="8"/>
      <c r="P71" s="8"/>
      <c r="Q71" s="8"/>
      <c r="R71" s="8"/>
      <c r="S71" s="8"/>
      <c r="T71" s="8"/>
      <c r="U71" s="8"/>
    </row>
    <row r="72" spans="1:21" x14ac:dyDescent="0.4">
      <c r="A72" s="8" t="s">
        <v>135</v>
      </c>
      <c r="B72" s="8"/>
      <c r="C72" s="8"/>
      <c r="D72" s="8"/>
      <c r="E72" s="8"/>
      <c r="F72" s="8"/>
      <c r="G72" s="8"/>
      <c r="H72" s="8"/>
      <c r="I72" s="8"/>
      <c r="J72" s="8"/>
      <c r="K72" s="8"/>
      <c r="L72" s="8"/>
      <c r="M72" s="8"/>
      <c r="N72" s="8"/>
      <c r="O72" s="8"/>
      <c r="P72" s="8"/>
      <c r="Q72" s="8"/>
      <c r="R72" s="8"/>
      <c r="S72" s="8"/>
      <c r="T72" s="8"/>
      <c r="U72" s="8"/>
    </row>
    <row r="73" spans="1:21" x14ac:dyDescent="0.4">
      <c r="A73" s="8" t="s">
        <v>136</v>
      </c>
      <c r="B73" s="8"/>
      <c r="C73" s="8"/>
      <c r="D73" s="8"/>
      <c r="E73" s="8"/>
      <c r="F73" s="8"/>
      <c r="G73" s="8"/>
      <c r="H73" s="8"/>
      <c r="I73" s="8"/>
      <c r="J73" s="8"/>
      <c r="K73" s="8"/>
      <c r="L73" s="8"/>
      <c r="M73" s="8"/>
      <c r="N73" s="8"/>
      <c r="O73" s="8"/>
      <c r="P73" s="8"/>
      <c r="Q73" s="8"/>
      <c r="R73" s="8"/>
      <c r="S73" s="8"/>
      <c r="T73" s="8"/>
      <c r="U73" s="8"/>
    </row>
    <row r="74" spans="1:21" x14ac:dyDescent="0.4">
      <c r="A74" s="8" t="s">
        <v>137</v>
      </c>
      <c r="B74" s="8"/>
      <c r="C74" s="8"/>
      <c r="D74" s="8"/>
      <c r="E74" s="8"/>
      <c r="F74" s="8"/>
      <c r="G74" s="8"/>
      <c r="H74" s="8"/>
      <c r="I74" s="8"/>
      <c r="J74" s="8"/>
      <c r="K74" s="8"/>
      <c r="L74" s="8"/>
      <c r="M74" s="8"/>
      <c r="N74" s="8"/>
      <c r="O74" s="8"/>
      <c r="P74" s="8"/>
      <c r="Q74" s="8"/>
      <c r="R74" s="8"/>
      <c r="S74" s="8"/>
      <c r="T74" s="8"/>
      <c r="U74" s="8"/>
    </row>
    <row r="75" spans="1:21" x14ac:dyDescent="0.4">
      <c r="A75" s="8" t="s">
        <v>138</v>
      </c>
      <c r="B75" s="8"/>
      <c r="C75" s="8"/>
      <c r="D75" s="8"/>
      <c r="E75" s="8"/>
      <c r="F75" s="8"/>
      <c r="G75" s="8"/>
      <c r="H75" s="8"/>
      <c r="I75" s="8"/>
      <c r="J75" s="8"/>
      <c r="K75" s="8"/>
      <c r="L75" s="8"/>
      <c r="M75" s="8"/>
      <c r="N75" s="8"/>
      <c r="O75" s="8"/>
      <c r="P75" s="8"/>
      <c r="Q75" s="8"/>
      <c r="R75" s="8"/>
      <c r="S75" s="8"/>
      <c r="T75" s="8"/>
      <c r="U75" s="8"/>
    </row>
    <row r="76" spans="1:21" x14ac:dyDescent="0.4">
      <c r="A76" s="8" t="s">
        <v>139</v>
      </c>
      <c r="B76" s="8"/>
      <c r="C76" s="8"/>
      <c r="D76" s="8"/>
      <c r="E76" s="8"/>
      <c r="F76" s="8"/>
      <c r="G76" s="8"/>
      <c r="H76" s="8"/>
      <c r="I76" s="8"/>
      <c r="J76" s="8"/>
      <c r="K76" s="8"/>
      <c r="L76" s="8"/>
      <c r="M76" s="8"/>
      <c r="N76" s="8"/>
      <c r="O76" s="8"/>
      <c r="P76" s="8"/>
      <c r="Q76" s="8"/>
      <c r="R76" s="8"/>
      <c r="S76" s="8"/>
      <c r="T76" s="8"/>
      <c r="U76" s="8"/>
    </row>
    <row r="77" spans="1:21" x14ac:dyDescent="0.4">
      <c r="A77" s="8" t="s">
        <v>140</v>
      </c>
      <c r="B77" s="8"/>
      <c r="C77" s="8"/>
      <c r="D77" s="8"/>
      <c r="E77" s="8"/>
      <c r="F77" s="8"/>
      <c r="G77" s="8"/>
      <c r="H77" s="8"/>
      <c r="I77" s="8"/>
      <c r="J77" s="8"/>
      <c r="K77" s="8"/>
      <c r="L77" s="8"/>
      <c r="M77" s="8"/>
      <c r="N77" s="8"/>
      <c r="O77" s="8"/>
      <c r="P77" s="8"/>
      <c r="Q77" s="8"/>
      <c r="R77" s="8"/>
      <c r="S77" s="8"/>
      <c r="T77" s="8"/>
      <c r="U77" s="8"/>
    </row>
    <row r="78" spans="1:21" x14ac:dyDescent="0.4">
      <c r="A78" s="8"/>
      <c r="B78" s="8"/>
      <c r="C78" s="8"/>
      <c r="D78" s="8"/>
      <c r="E78" s="8"/>
      <c r="F78" s="8"/>
      <c r="G78" s="8"/>
      <c r="H78" s="8"/>
      <c r="I78" s="8"/>
      <c r="J78" s="8"/>
      <c r="K78" s="8"/>
      <c r="L78" s="8"/>
      <c r="M78" s="8"/>
      <c r="N78" s="8"/>
      <c r="O78" s="8"/>
      <c r="P78" s="8"/>
      <c r="Q78" s="8"/>
      <c r="R78" s="8"/>
      <c r="S78" s="8"/>
      <c r="T78" s="8"/>
      <c r="U78" s="8"/>
    </row>
    <row r="79" spans="1:21" x14ac:dyDescent="0.4">
      <c r="A79" s="8" t="s">
        <v>10</v>
      </c>
      <c r="B79" s="8"/>
      <c r="C79" s="8"/>
      <c r="D79" s="8"/>
      <c r="E79" s="8"/>
      <c r="F79" s="8"/>
      <c r="G79" s="8"/>
      <c r="H79" s="8"/>
      <c r="I79" s="8"/>
      <c r="J79" s="8"/>
      <c r="K79" s="8"/>
      <c r="L79" s="8"/>
      <c r="M79" s="8"/>
      <c r="N79" s="8"/>
      <c r="O79" s="8"/>
      <c r="P79" s="8"/>
      <c r="Q79" s="8"/>
      <c r="R79" s="8"/>
      <c r="S79" s="8"/>
      <c r="T79" s="8"/>
      <c r="U79" s="8"/>
    </row>
    <row r="80" spans="1:21" x14ac:dyDescent="0.4">
      <c r="A80" s="8" t="s">
        <v>129</v>
      </c>
      <c r="B80" s="8"/>
      <c r="C80" s="8"/>
      <c r="D80" s="8"/>
      <c r="E80" s="8"/>
      <c r="F80" s="8"/>
      <c r="G80" s="8"/>
      <c r="H80" s="8"/>
      <c r="I80" s="8"/>
      <c r="J80" s="8"/>
      <c r="K80" s="8"/>
      <c r="L80" s="8"/>
      <c r="M80" s="8"/>
      <c r="N80" s="8"/>
      <c r="O80" s="8"/>
      <c r="P80" s="8"/>
      <c r="Q80" s="8"/>
      <c r="R80" s="8"/>
      <c r="S80" s="8"/>
      <c r="T80" s="8"/>
      <c r="U80" s="8"/>
    </row>
    <row r="81" spans="1:21" x14ac:dyDescent="0.4">
      <c r="A81" s="8" t="s">
        <v>141</v>
      </c>
      <c r="B81" s="8"/>
      <c r="C81" s="8"/>
      <c r="D81" s="8"/>
      <c r="E81" s="8"/>
      <c r="F81" s="8"/>
      <c r="G81" s="8"/>
      <c r="H81" s="8"/>
      <c r="I81" s="8"/>
      <c r="J81" s="8"/>
      <c r="K81" s="8"/>
      <c r="L81" s="8"/>
      <c r="M81" s="8"/>
      <c r="N81" s="8"/>
      <c r="O81" s="8"/>
      <c r="P81" s="8"/>
      <c r="Q81" s="8"/>
      <c r="R81" s="8"/>
      <c r="S81" s="8"/>
      <c r="T81" s="8"/>
      <c r="U81" s="8"/>
    </row>
    <row r="82" spans="1:21" x14ac:dyDescent="0.4">
      <c r="A82" s="8" t="s">
        <v>131</v>
      </c>
      <c r="B82" s="8"/>
      <c r="C82" s="8"/>
      <c r="D82" s="8"/>
      <c r="E82" s="8"/>
      <c r="F82" s="8"/>
      <c r="G82" s="8"/>
      <c r="H82" s="8"/>
      <c r="I82" s="8"/>
      <c r="J82" s="8"/>
      <c r="K82" s="8"/>
      <c r="L82" s="8"/>
      <c r="M82" s="8"/>
      <c r="N82" s="8"/>
      <c r="O82" s="8"/>
      <c r="P82" s="8"/>
      <c r="Q82" s="8"/>
      <c r="R82" s="8"/>
      <c r="S82" s="8"/>
      <c r="T82" s="8"/>
      <c r="U82" s="8"/>
    </row>
    <row r="83" spans="1:21" x14ac:dyDescent="0.4">
      <c r="A83" s="8" t="s">
        <v>132</v>
      </c>
      <c r="B83" s="8"/>
      <c r="C83" s="8"/>
      <c r="D83" s="8"/>
      <c r="E83" s="8"/>
      <c r="F83" s="8"/>
      <c r="G83" s="8"/>
      <c r="H83" s="8"/>
      <c r="I83" s="8"/>
      <c r="J83" s="8"/>
      <c r="K83" s="8"/>
      <c r="L83" s="8"/>
      <c r="M83" s="8"/>
      <c r="N83" s="8"/>
      <c r="O83" s="8"/>
      <c r="P83" s="8"/>
      <c r="Q83" s="8"/>
      <c r="R83" s="8"/>
      <c r="S83" s="8"/>
      <c r="T83" s="8"/>
      <c r="U83" s="8"/>
    </row>
    <row r="84" spans="1:21" x14ac:dyDescent="0.4">
      <c r="A84" s="8" t="s">
        <v>133</v>
      </c>
      <c r="B84" s="8"/>
      <c r="C84" s="8"/>
      <c r="D84" s="8"/>
      <c r="E84" s="8"/>
      <c r="F84" s="8"/>
      <c r="G84" s="8"/>
      <c r="H84" s="8"/>
      <c r="I84" s="8"/>
      <c r="J84" s="8"/>
      <c r="K84" s="8"/>
      <c r="L84" s="8"/>
      <c r="M84" s="8"/>
      <c r="N84" s="8"/>
      <c r="O84" s="8"/>
      <c r="P84" s="8"/>
      <c r="Q84" s="8"/>
      <c r="R84" s="8"/>
      <c r="S84" s="8"/>
      <c r="T84" s="8"/>
      <c r="U84" s="8"/>
    </row>
    <row r="85" spans="1:21" x14ac:dyDescent="0.4">
      <c r="A85" s="8" t="s">
        <v>142</v>
      </c>
      <c r="B85" s="8"/>
      <c r="C85" s="8"/>
      <c r="D85" s="8"/>
      <c r="E85" s="8"/>
      <c r="F85" s="8"/>
      <c r="G85" s="8"/>
      <c r="H85" s="8"/>
      <c r="I85" s="8"/>
      <c r="J85" s="8"/>
      <c r="K85" s="8"/>
      <c r="L85" s="8"/>
      <c r="M85" s="8"/>
      <c r="N85" s="8"/>
      <c r="O85" s="8"/>
      <c r="P85" s="8"/>
      <c r="Q85" s="8"/>
      <c r="R85" s="8"/>
      <c r="S85" s="8"/>
      <c r="T85" s="8"/>
      <c r="U85" s="8"/>
    </row>
    <row r="86" spans="1:21" x14ac:dyDescent="0.4">
      <c r="A86" s="8" t="s">
        <v>143</v>
      </c>
      <c r="B86" s="8"/>
      <c r="C86" s="8"/>
      <c r="D86" s="8"/>
      <c r="E86" s="8"/>
      <c r="F86" s="8"/>
      <c r="G86" s="8"/>
      <c r="H86" s="8"/>
      <c r="I86" s="8"/>
      <c r="J86" s="8"/>
      <c r="K86" s="8"/>
      <c r="L86" s="8"/>
      <c r="M86" s="8"/>
      <c r="N86" s="8"/>
      <c r="O86" s="8"/>
      <c r="P86" s="8"/>
      <c r="Q86" s="8"/>
      <c r="R86" s="8"/>
      <c r="S86" s="8"/>
      <c r="T86" s="8"/>
      <c r="U86" s="8"/>
    </row>
    <row r="87" spans="1:21" x14ac:dyDescent="0.4">
      <c r="A87" s="8" t="s">
        <v>136</v>
      </c>
      <c r="B87" s="8"/>
      <c r="C87" s="8"/>
      <c r="D87" s="8"/>
      <c r="E87" s="8"/>
      <c r="F87" s="8"/>
      <c r="G87" s="8"/>
      <c r="H87" s="8"/>
      <c r="I87" s="8"/>
      <c r="J87" s="8"/>
      <c r="K87" s="8"/>
      <c r="L87" s="8"/>
      <c r="M87" s="8"/>
      <c r="N87" s="8"/>
      <c r="O87" s="8"/>
      <c r="P87" s="8"/>
      <c r="Q87" s="8"/>
      <c r="R87" s="8"/>
      <c r="S87" s="8"/>
      <c r="T87" s="8"/>
      <c r="U87" s="8"/>
    </row>
    <row r="88" spans="1:21" x14ac:dyDescent="0.4">
      <c r="A88" s="8" t="s">
        <v>144</v>
      </c>
      <c r="B88" s="8"/>
      <c r="C88" s="8"/>
      <c r="D88" s="8"/>
      <c r="E88" s="8"/>
      <c r="F88" s="8"/>
      <c r="G88" s="8"/>
      <c r="H88" s="8"/>
      <c r="I88" s="8"/>
      <c r="J88" s="8"/>
      <c r="K88" s="8"/>
      <c r="L88" s="8"/>
      <c r="M88" s="8"/>
      <c r="N88" s="8"/>
      <c r="O88" s="8"/>
      <c r="P88" s="8"/>
      <c r="Q88" s="8"/>
      <c r="R88" s="8"/>
      <c r="S88" s="8"/>
      <c r="T88" s="8"/>
      <c r="U88" s="8"/>
    </row>
    <row r="89" spans="1:21" x14ac:dyDescent="0.4">
      <c r="A89" s="8" t="s">
        <v>145</v>
      </c>
      <c r="B89" s="8"/>
      <c r="C89" s="8"/>
      <c r="D89" s="8"/>
      <c r="E89" s="8"/>
      <c r="F89" s="8"/>
      <c r="G89" s="8"/>
      <c r="H89" s="8"/>
      <c r="I89" s="8"/>
      <c r="J89" s="8"/>
      <c r="K89" s="8"/>
      <c r="L89" s="8"/>
      <c r="M89" s="8"/>
      <c r="N89" s="8"/>
      <c r="O89" s="8"/>
      <c r="P89" s="8"/>
      <c r="Q89" s="8"/>
      <c r="R89" s="8"/>
      <c r="S89" s="8"/>
      <c r="T89" s="8"/>
      <c r="U89" s="8"/>
    </row>
    <row r="90" spans="1:21" x14ac:dyDescent="0.4">
      <c r="A90" s="8" t="s">
        <v>138</v>
      </c>
      <c r="B90" s="8"/>
      <c r="C90" s="8"/>
      <c r="D90" s="8"/>
      <c r="E90" s="8"/>
      <c r="F90" s="8"/>
      <c r="G90" s="8"/>
      <c r="H90" s="8"/>
      <c r="I90" s="8"/>
      <c r="J90" s="8"/>
      <c r="K90" s="8"/>
      <c r="L90" s="8"/>
      <c r="M90" s="8"/>
      <c r="N90" s="8"/>
      <c r="O90" s="8"/>
      <c r="P90" s="8"/>
      <c r="Q90" s="8"/>
      <c r="R90" s="8"/>
      <c r="S90" s="8"/>
      <c r="T90" s="8"/>
      <c r="U90" s="8"/>
    </row>
    <row r="91" spans="1:21" x14ac:dyDescent="0.4">
      <c r="A91" s="8" t="s">
        <v>146</v>
      </c>
      <c r="B91" s="8"/>
      <c r="C91" s="8"/>
      <c r="D91" s="8"/>
      <c r="E91" s="8"/>
      <c r="F91" s="8"/>
      <c r="G91" s="8"/>
      <c r="H91" s="8"/>
      <c r="I91" s="8"/>
      <c r="J91" s="8"/>
      <c r="K91" s="8"/>
      <c r="L91" s="8"/>
      <c r="M91" s="8"/>
      <c r="N91" s="8"/>
      <c r="O91" s="8"/>
      <c r="P91" s="8"/>
      <c r="Q91" s="8"/>
      <c r="R91" s="8"/>
      <c r="S91" s="8"/>
      <c r="T91" s="8"/>
      <c r="U91" s="8"/>
    </row>
    <row r="92" spans="1:21" x14ac:dyDescent="0.4">
      <c r="A92" s="8"/>
      <c r="B92" s="8"/>
      <c r="C92" s="8"/>
      <c r="D92" s="8"/>
      <c r="E92" s="8"/>
      <c r="F92" s="8"/>
      <c r="G92" s="8"/>
      <c r="H92" s="8"/>
      <c r="I92" s="8"/>
      <c r="J92" s="8"/>
      <c r="K92" s="8"/>
      <c r="L92" s="8"/>
      <c r="M92" s="8"/>
      <c r="N92" s="8"/>
      <c r="O92" s="8"/>
      <c r="P92" s="8"/>
      <c r="Q92" s="8"/>
      <c r="R92" s="8"/>
      <c r="S92" s="8"/>
      <c r="T92" s="8"/>
      <c r="U92" s="8"/>
    </row>
    <row r="93" spans="1:21" x14ac:dyDescent="0.4">
      <c r="A93" s="8" t="s">
        <v>147</v>
      </c>
      <c r="B93" s="8"/>
      <c r="C93" s="8"/>
      <c r="D93" s="8"/>
      <c r="E93" s="8"/>
      <c r="F93" s="8"/>
      <c r="G93" s="8"/>
      <c r="H93" s="8"/>
      <c r="I93" s="8"/>
      <c r="J93" s="8"/>
      <c r="K93" s="8"/>
      <c r="L93" s="8"/>
      <c r="M93" s="8"/>
      <c r="N93" s="8"/>
      <c r="O93" s="8"/>
      <c r="P93" s="8"/>
      <c r="Q93" s="8"/>
      <c r="R93" s="8"/>
      <c r="S93" s="8"/>
      <c r="T93" s="8"/>
      <c r="U93" s="8"/>
    </row>
    <row r="94" spans="1:21" x14ac:dyDescent="0.4">
      <c r="A94" s="8" t="s">
        <v>129</v>
      </c>
      <c r="B94" s="8"/>
      <c r="C94" s="8"/>
      <c r="D94" s="8"/>
      <c r="E94" s="8"/>
      <c r="F94" s="8"/>
      <c r="G94" s="8"/>
      <c r="H94" s="8"/>
      <c r="I94" s="8"/>
      <c r="J94" s="8"/>
      <c r="K94" s="8"/>
      <c r="L94" s="8"/>
      <c r="M94" s="8"/>
      <c r="N94" s="8"/>
      <c r="O94" s="8"/>
      <c r="P94" s="8"/>
      <c r="Q94" s="8"/>
      <c r="R94" s="8"/>
      <c r="S94" s="8"/>
      <c r="T94" s="8"/>
      <c r="U94" s="8"/>
    </row>
    <row r="95" spans="1:21" x14ac:dyDescent="0.4">
      <c r="A95" s="8" t="s">
        <v>148</v>
      </c>
      <c r="B95" s="8"/>
      <c r="C95" s="8"/>
      <c r="D95" s="8"/>
      <c r="E95" s="8"/>
      <c r="F95" s="8"/>
      <c r="G95" s="8"/>
      <c r="H95" s="8"/>
      <c r="I95" s="8"/>
      <c r="J95" s="8"/>
      <c r="K95" s="8"/>
      <c r="L95" s="8"/>
      <c r="M95" s="8"/>
      <c r="N95" s="8"/>
      <c r="O95" s="8"/>
      <c r="P95" s="8"/>
      <c r="Q95" s="8"/>
      <c r="R95" s="8"/>
      <c r="S95" s="8"/>
      <c r="T95" s="8"/>
      <c r="U95" s="8"/>
    </row>
    <row r="96" spans="1:21" x14ac:dyDescent="0.4">
      <c r="A96" s="8" t="s">
        <v>131</v>
      </c>
      <c r="B96" s="8"/>
      <c r="C96" s="8"/>
      <c r="D96" s="8"/>
      <c r="E96" s="8"/>
      <c r="F96" s="8"/>
      <c r="G96" s="8"/>
      <c r="H96" s="8"/>
      <c r="I96" s="8"/>
      <c r="J96" s="8"/>
      <c r="K96" s="8"/>
      <c r="L96" s="8"/>
      <c r="M96" s="8"/>
      <c r="N96" s="8"/>
      <c r="O96" s="8"/>
      <c r="P96" s="8"/>
      <c r="Q96" s="8"/>
      <c r="R96" s="8"/>
      <c r="S96" s="8"/>
      <c r="T96" s="8"/>
      <c r="U96" s="8"/>
    </row>
    <row r="97" spans="1:21" x14ac:dyDescent="0.4">
      <c r="A97" s="8" t="s">
        <v>132</v>
      </c>
      <c r="B97" s="8"/>
      <c r="C97" s="8"/>
      <c r="D97" s="8"/>
      <c r="E97" s="8"/>
      <c r="F97" s="8"/>
      <c r="G97" s="8"/>
      <c r="H97" s="8"/>
      <c r="I97" s="8"/>
      <c r="J97" s="8"/>
      <c r="K97" s="8"/>
      <c r="L97" s="8"/>
      <c r="M97" s="8"/>
      <c r="N97" s="8"/>
      <c r="O97" s="8"/>
      <c r="P97" s="8"/>
      <c r="Q97" s="8"/>
      <c r="R97" s="8"/>
      <c r="S97" s="8"/>
      <c r="T97" s="8"/>
      <c r="U97" s="8"/>
    </row>
    <row r="98" spans="1:21" x14ac:dyDescent="0.4">
      <c r="A98" s="8" t="s">
        <v>133</v>
      </c>
      <c r="B98" s="8"/>
      <c r="C98" s="8"/>
      <c r="D98" s="8"/>
      <c r="E98" s="8"/>
      <c r="F98" s="8"/>
      <c r="G98" s="8"/>
      <c r="H98" s="8"/>
      <c r="I98" s="8"/>
      <c r="J98" s="8"/>
      <c r="K98" s="8"/>
      <c r="L98" s="8"/>
      <c r="M98" s="8"/>
      <c r="N98" s="8"/>
      <c r="O98" s="8"/>
      <c r="P98" s="8"/>
      <c r="Q98" s="8"/>
      <c r="R98" s="8"/>
      <c r="S98" s="8"/>
      <c r="T98" s="8"/>
      <c r="U98" s="8"/>
    </row>
    <row r="99" spans="1:21" x14ac:dyDescent="0.4">
      <c r="A99" s="8" t="s">
        <v>149</v>
      </c>
      <c r="B99" s="8"/>
      <c r="C99" s="8"/>
      <c r="D99" s="8"/>
      <c r="E99" s="8"/>
      <c r="F99" s="8"/>
      <c r="G99" s="8"/>
      <c r="H99" s="8"/>
      <c r="I99" s="8"/>
      <c r="J99" s="8"/>
      <c r="K99" s="8"/>
      <c r="L99" s="8"/>
      <c r="M99" s="8"/>
      <c r="N99" s="8"/>
      <c r="O99" s="8"/>
      <c r="P99" s="8"/>
      <c r="Q99" s="8"/>
      <c r="R99" s="8"/>
      <c r="S99" s="8"/>
      <c r="T99" s="8"/>
      <c r="U99" s="8"/>
    </row>
    <row r="100" spans="1:21" x14ac:dyDescent="0.4">
      <c r="A100" s="8" t="s">
        <v>143</v>
      </c>
      <c r="B100" s="8"/>
      <c r="C100" s="8"/>
      <c r="D100" s="8"/>
      <c r="E100" s="8"/>
      <c r="F100" s="8"/>
      <c r="G100" s="8"/>
      <c r="H100" s="8"/>
      <c r="I100" s="8"/>
      <c r="J100" s="8"/>
      <c r="K100" s="8"/>
      <c r="L100" s="8"/>
      <c r="M100" s="8"/>
      <c r="N100" s="8"/>
      <c r="O100" s="8"/>
      <c r="P100" s="8"/>
      <c r="Q100" s="8"/>
      <c r="R100" s="8"/>
      <c r="S100" s="8"/>
      <c r="T100" s="8"/>
      <c r="U100" s="8"/>
    </row>
    <row r="101" spans="1:21" x14ac:dyDescent="0.4">
      <c r="A101" s="8" t="s">
        <v>136</v>
      </c>
      <c r="B101" s="8"/>
      <c r="C101" s="8"/>
      <c r="D101" s="8"/>
      <c r="E101" s="8"/>
      <c r="F101" s="8"/>
      <c r="G101" s="8"/>
      <c r="H101" s="8"/>
      <c r="I101" s="8"/>
      <c r="J101" s="8"/>
      <c r="K101" s="8"/>
      <c r="L101" s="8"/>
      <c r="M101" s="8"/>
      <c r="N101" s="8"/>
      <c r="O101" s="8"/>
      <c r="P101" s="8"/>
      <c r="Q101" s="8"/>
      <c r="R101" s="8"/>
      <c r="S101" s="8"/>
      <c r="T101" s="8"/>
      <c r="U101" s="8"/>
    </row>
    <row r="102" spans="1:21" x14ac:dyDescent="0.4">
      <c r="A102" s="8" t="s">
        <v>150</v>
      </c>
      <c r="B102" s="8"/>
      <c r="C102" s="8"/>
      <c r="D102" s="8"/>
      <c r="E102" s="8"/>
      <c r="F102" s="8"/>
      <c r="G102" s="8"/>
      <c r="H102" s="8"/>
      <c r="I102" s="8"/>
      <c r="J102" s="8"/>
      <c r="K102" s="8"/>
      <c r="L102" s="8"/>
      <c r="M102" s="8"/>
      <c r="N102" s="8"/>
      <c r="O102" s="8"/>
      <c r="P102" s="8"/>
      <c r="Q102" s="8"/>
      <c r="R102" s="8"/>
      <c r="S102" s="8"/>
      <c r="T102" s="8"/>
      <c r="U102" s="8"/>
    </row>
    <row r="103" spans="1:21" x14ac:dyDescent="0.4">
      <c r="A103" s="8" t="s">
        <v>138</v>
      </c>
      <c r="B103" s="8"/>
      <c r="C103" s="8"/>
      <c r="D103" s="8"/>
      <c r="E103" s="8"/>
      <c r="F103" s="8"/>
      <c r="G103" s="8"/>
      <c r="H103" s="8"/>
      <c r="I103" s="8"/>
      <c r="J103" s="8"/>
      <c r="K103" s="8"/>
      <c r="L103" s="8"/>
      <c r="M103" s="8"/>
      <c r="N103" s="8"/>
      <c r="O103" s="8"/>
      <c r="P103" s="8"/>
      <c r="Q103" s="8"/>
      <c r="R103" s="8"/>
      <c r="S103" s="8"/>
      <c r="T103" s="8"/>
      <c r="U103" s="8"/>
    </row>
    <row r="104" spans="1:21" x14ac:dyDescent="0.4">
      <c r="A104" s="8" t="s">
        <v>151</v>
      </c>
      <c r="B104" s="8"/>
      <c r="C104" s="8"/>
      <c r="D104" s="8"/>
      <c r="E104" s="8"/>
      <c r="F104" s="8"/>
      <c r="G104" s="8"/>
      <c r="H104" s="8"/>
      <c r="I104" s="8"/>
      <c r="J104" s="8"/>
      <c r="K104" s="8"/>
      <c r="L104" s="8"/>
      <c r="M104" s="8"/>
      <c r="N104" s="8"/>
      <c r="O104" s="8"/>
      <c r="P104" s="8"/>
      <c r="Q104" s="8"/>
      <c r="R104" s="8"/>
      <c r="S104" s="8"/>
      <c r="T104" s="8"/>
      <c r="U104" s="8"/>
    </row>
    <row r="105" spans="1:21" x14ac:dyDescent="0.4">
      <c r="A105" s="8" t="s">
        <v>152</v>
      </c>
      <c r="B105" s="8"/>
      <c r="C105" s="8"/>
      <c r="D105" s="8"/>
      <c r="E105" s="8"/>
      <c r="F105" s="8"/>
      <c r="G105" s="8"/>
      <c r="H105" s="8"/>
      <c r="I105" s="8"/>
      <c r="J105" s="8"/>
      <c r="K105" s="8"/>
      <c r="L105" s="8"/>
      <c r="M105" s="8"/>
      <c r="N105" s="8"/>
      <c r="O105" s="8"/>
      <c r="P105" s="8"/>
      <c r="Q105" s="8"/>
      <c r="R105" s="8"/>
      <c r="S105" s="8"/>
      <c r="T105" s="8"/>
      <c r="U105" s="8"/>
    </row>
    <row r="106" spans="1:21" x14ac:dyDescent="0.4">
      <c r="A106" s="8"/>
      <c r="B106" s="8"/>
      <c r="C106" s="8"/>
      <c r="D106" s="8"/>
      <c r="E106" s="8"/>
      <c r="F106" s="8"/>
      <c r="G106" s="8"/>
      <c r="H106" s="8"/>
      <c r="I106" s="8"/>
      <c r="J106" s="8"/>
      <c r="K106" s="8"/>
      <c r="L106" s="8"/>
      <c r="M106" s="8"/>
      <c r="N106" s="8"/>
      <c r="O106" s="8"/>
      <c r="P106" s="8"/>
      <c r="Q106" s="8"/>
      <c r="R106" s="8"/>
      <c r="S106" s="8"/>
      <c r="T106" s="8"/>
      <c r="U106" s="8"/>
    </row>
    <row r="107" spans="1:21" x14ac:dyDescent="0.4">
      <c r="A107" s="8" t="s">
        <v>121</v>
      </c>
      <c r="B107" s="8"/>
      <c r="C107" s="8"/>
      <c r="D107" s="8"/>
      <c r="E107" s="8"/>
      <c r="F107" s="8"/>
      <c r="G107" s="8"/>
      <c r="H107" s="8"/>
      <c r="I107" s="8"/>
      <c r="J107" s="8"/>
      <c r="K107" s="8"/>
      <c r="L107" s="8"/>
      <c r="M107" s="8"/>
      <c r="N107" s="8"/>
      <c r="O107" s="8"/>
      <c r="P107" s="8"/>
      <c r="Q107" s="8"/>
      <c r="R107" s="8"/>
      <c r="S107" s="8"/>
      <c r="T107" s="8"/>
      <c r="U107" s="8"/>
    </row>
    <row r="108" spans="1:21" x14ac:dyDescent="0.4">
      <c r="A108" s="8" t="e" cm="1">
        <f t="array" ref="A108">- _xleta.T-Motor U15 適合需要高推力重量比和長時間運作的任務。</f>
        <v>#VALUE!</v>
      </c>
      <c r="B108" s="8"/>
      <c r="C108" s="8"/>
      <c r="D108" s="8"/>
      <c r="E108" s="8"/>
      <c r="F108" s="8"/>
      <c r="G108" s="8"/>
      <c r="H108" s="8"/>
      <c r="I108" s="8"/>
      <c r="J108" s="8"/>
      <c r="K108" s="8"/>
      <c r="L108" s="8"/>
      <c r="M108" s="8"/>
      <c r="N108" s="8"/>
      <c r="O108" s="8"/>
      <c r="P108" s="8"/>
      <c r="Q108" s="8"/>
      <c r="R108" s="8"/>
      <c r="S108" s="8"/>
      <c r="T108" s="8"/>
      <c r="U108" s="8"/>
    </row>
    <row r="109" spans="1:21" x14ac:dyDescent="0.4">
      <c r="A109" s="8" t="s">
        <v>153</v>
      </c>
      <c r="B109" s="8"/>
      <c r="C109" s="8"/>
      <c r="D109" s="8"/>
      <c r="E109" s="8"/>
      <c r="F109" s="8"/>
      <c r="G109" s="8"/>
      <c r="H109" s="8"/>
      <c r="I109" s="8"/>
      <c r="J109" s="8"/>
      <c r="K109" s="8"/>
      <c r="L109" s="8"/>
      <c r="M109" s="8"/>
      <c r="N109" s="8"/>
      <c r="O109" s="8"/>
      <c r="P109" s="8"/>
      <c r="Q109" s="8"/>
      <c r="R109" s="8"/>
      <c r="S109" s="8"/>
      <c r="T109" s="8"/>
      <c r="U109" s="8"/>
    </row>
    <row r="110" spans="1:21" x14ac:dyDescent="0.4">
      <c r="A110" s="8" t="s">
        <v>154</v>
      </c>
      <c r="B110" s="8"/>
      <c r="C110" s="8"/>
      <c r="D110" s="8"/>
      <c r="E110" s="8"/>
      <c r="F110" s="8"/>
      <c r="G110" s="8"/>
      <c r="H110" s="8"/>
      <c r="I110" s="8"/>
      <c r="J110" s="8"/>
      <c r="K110" s="8"/>
      <c r="L110" s="8"/>
      <c r="M110" s="8"/>
      <c r="N110" s="8"/>
      <c r="O110" s="8"/>
      <c r="P110" s="8"/>
      <c r="Q110" s="8"/>
      <c r="R110" s="8"/>
      <c r="S110" s="8"/>
      <c r="T110" s="8"/>
      <c r="U110" s="8"/>
    </row>
    <row r="111" spans="1:21" x14ac:dyDescent="0.4">
      <c r="A111" s="8"/>
      <c r="B111" s="8"/>
      <c r="C111" s="8"/>
      <c r="D111" s="8"/>
      <c r="E111" s="8"/>
      <c r="F111" s="8"/>
      <c r="G111" s="8"/>
      <c r="H111" s="8"/>
      <c r="I111" s="8"/>
      <c r="J111" s="8"/>
      <c r="K111" s="8"/>
      <c r="L111" s="8"/>
      <c r="M111" s="8"/>
      <c r="N111" s="8"/>
      <c r="O111" s="8"/>
      <c r="P111" s="8"/>
      <c r="Q111" s="8"/>
      <c r="R111" s="8"/>
      <c r="S111" s="8"/>
      <c r="T111" s="8"/>
      <c r="U111" s="8"/>
    </row>
    <row r="112" spans="1:21" x14ac:dyDescent="0.4">
      <c r="A112" s="8" t="s">
        <v>155</v>
      </c>
      <c r="B112" s="8"/>
      <c r="C112" s="8"/>
      <c r="D112" s="8"/>
      <c r="E112" s="8"/>
      <c r="F112" s="8"/>
      <c r="G112" s="8"/>
      <c r="H112" s="8"/>
      <c r="I112" s="8"/>
      <c r="J112" s="8"/>
      <c r="K112" s="8"/>
      <c r="L112" s="8"/>
      <c r="M112" s="8"/>
      <c r="N112" s="8"/>
      <c r="O112" s="8"/>
      <c r="P112" s="8"/>
      <c r="Q112" s="8"/>
      <c r="R112" s="8"/>
      <c r="S112" s="8"/>
      <c r="T112" s="8"/>
      <c r="U112" s="8"/>
    </row>
    <row r="113" spans="1:264" x14ac:dyDescent="0.4">
      <c r="A113" s="8"/>
      <c r="B113" s="8"/>
      <c r="C113" s="8"/>
      <c r="D113" s="8"/>
      <c r="E113" s="8"/>
      <c r="F113" s="8"/>
      <c r="G113" s="8"/>
      <c r="H113" s="8"/>
      <c r="I113" s="8"/>
      <c r="J113" s="8"/>
      <c r="K113" s="8"/>
      <c r="L113" s="8"/>
      <c r="M113" s="8"/>
      <c r="N113" s="8"/>
      <c r="O113" s="8"/>
      <c r="P113" s="8"/>
      <c r="Q113" s="8"/>
      <c r="R113" s="8"/>
      <c r="S113" s="8"/>
      <c r="T113" s="8"/>
      <c r="U113" s="8"/>
    </row>
    <row r="114" spans="1:264" x14ac:dyDescent="0.4">
      <c r="A114" s="8"/>
      <c r="B114" s="8"/>
      <c r="C114" s="8"/>
      <c r="D114" s="8"/>
      <c r="E114" s="8"/>
      <c r="F114" s="8"/>
      <c r="G114" s="8"/>
      <c r="H114" s="8"/>
      <c r="I114" s="8"/>
      <c r="J114" s="8"/>
      <c r="K114" s="8"/>
      <c r="L114" s="8"/>
      <c r="M114" s="8"/>
      <c r="N114" s="8"/>
      <c r="O114" s="8"/>
      <c r="P114" s="8"/>
      <c r="Q114" s="8"/>
      <c r="R114" s="8"/>
      <c r="S114" s="8"/>
      <c r="T114" s="8"/>
      <c r="U114" s="8"/>
    </row>
    <row r="118" spans="1:264" x14ac:dyDescent="0.4">
      <c r="A118" s="7" t="s">
        <v>62</v>
      </c>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R118" s="9" t="s">
        <v>335</v>
      </c>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row>
    <row r="119" spans="1:264" x14ac:dyDescent="0.4">
      <c r="A119" s="8" t="s">
        <v>156</v>
      </c>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R119" s="9" t="s">
        <v>300</v>
      </c>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row>
    <row r="120" spans="1:264" x14ac:dyDescent="0.4">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R120" s="9" t="s">
        <v>301</v>
      </c>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row>
    <row r="121" spans="1:264" x14ac:dyDescent="0.4">
      <c r="A121" s="8" t="s">
        <v>157</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row>
    <row r="122" spans="1:264" x14ac:dyDescent="0.4">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R122" s="9" t="s">
        <v>302</v>
      </c>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row>
    <row r="123" spans="1:264" x14ac:dyDescent="0.4">
      <c r="A123" s="8" t="s">
        <v>158</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R123" s="9" t="s">
        <v>303</v>
      </c>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row>
    <row r="124" spans="1:264" x14ac:dyDescent="0.4">
      <c r="A124" s="8" t="s">
        <v>159</v>
      </c>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row>
    <row r="125" spans="1:264" x14ac:dyDescent="0.4">
      <c r="A125" s="8" t="s">
        <v>160</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R125" s="9" t="s">
        <v>304</v>
      </c>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row>
    <row r="126" spans="1:264" x14ac:dyDescent="0.4">
      <c r="A126" s="8" t="s">
        <v>161</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R126" s="9" t="s">
        <v>305</v>
      </c>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row>
    <row r="127" spans="1:264" x14ac:dyDescent="0.4">
      <c r="A127" s="8" t="s">
        <v>162</v>
      </c>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R127" s="9" t="s">
        <v>306</v>
      </c>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row>
    <row r="128" spans="1:264" x14ac:dyDescent="0.4">
      <c r="A128" s="8" t="s">
        <v>163</v>
      </c>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R128" s="9" t="s">
        <v>307</v>
      </c>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row>
    <row r="129" spans="1:264" x14ac:dyDescent="0.4">
      <c r="A129" s="8" t="s">
        <v>164</v>
      </c>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R129" s="9" t="s">
        <v>308</v>
      </c>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row>
    <row r="130" spans="1:264" x14ac:dyDescent="0.4">
      <c r="A130" s="8" t="s">
        <v>165</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R130" s="9" t="s">
        <v>309</v>
      </c>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row>
    <row r="131" spans="1:264" x14ac:dyDescent="0.4">
      <c r="A131" s="8" t="s">
        <v>166</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R131" s="9" t="s">
        <v>310</v>
      </c>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row>
    <row r="132" spans="1:264" x14ac:dyDescent="0.4">
      <c r="A132" s="8" t="s">
        <v>167</v>
      </c>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R132" s="9" t="s">
        <v>311</v>
      </c>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row>
    <row r="133" spans="1:264" x14ac:dyDescent="0.4">
      <c r="A133" s="8" t="s">
        <v>168</v>
      </c>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R133" s="9" t="s">
        <v>312</v>
      </c>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row>
    <row r="134" spans="1:264" x14ac:dyDescent="0.4">
      <c r="A134" s="8" t="s">
        <v>169</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R134" s="9" t="s">
        <v>313</v>
      </c>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row>
    <row r="135" spans="1:264" x14ac:dyDescent="0.4">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row>
    <row r="136" spans="1:264" x14ac:dyDescent="0.4">
      <c r="A136" s="8" t="s">
        <v>170</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R136" s="9" t="s">
        <v>314</v>
      </c>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row>
    <row r="137" spans="1:264" x14ac:dyDescent="0.4">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R137" s="9" t="s">
        <v>315</v>
      </c>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row>
    <row r="138" spans="1:264" x14ac:dyDescent="0.4">
      <c r="A138" s="8" t="s">
        <v>171</v>
      </c>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R138" s="9" t="s">
        <v>316</v>
      </c>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row>
    <row r="139" spans="1:264" x14ac:dyDescent="0.4">
      <c r="A139" s="8" t="s">
        <v>172</v>
      </c>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R139" s="9" t="s">
        <v>25</v>
      </c>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row>
    <row r="140" spans="1:264" x14ac:dyDescent="0.4">
      <c r="A140" s="8" t="s">
        <v>160</v>
      </c>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row>
    <row r="141" spans="1:264" x14ac:dyDescent="0.4">
      <c r="A141" s="8" t="s">
        <v>173</v>
      </c>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R141" s="9" t="s">
        <v>88</v>
      </c>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row>
    <row r="142" spans="1:264" x14ac:dyDescent="0.4">
      <c r="A142" s="8" t="s">
        <v>174</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R142" s="9" t="s">
        <v>89</v>
      </c>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row>
    <row r="143" spans="1:264" x14ac:dyDescent="0.4">
      <c r="A143" s="8" t="s">
        <v>175</v>
      </c>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R143" s="9" t="s">
        <v>90</v>
      </c>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row>
    <row r="144" spans="1:264" x14ac:dyDescent="0.4">
      <c r="A144" s="8" t="s">
        <v>176</v>
      </c>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R144" s="9" t="s">
        <v>315</v>
      </c>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row>
    <row r="145" spans="1:264" x14ac:dyDescent="0.4">
      <c r="A145" s="8" t="s">
        <v>165</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R145" s="9" t="s">
        <v>317</v>
      </c>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c r="JA145" s="9"/>
      <c r="JB145" s="9"/>
      <c r="JC145" s="9"/>
      <c r="JD145" s="9"/>
    </row>
    <row r="146" spans="1:264" x14ac:dyDescent="0.4">
      <c r="A146" s="8" t="s">
        <v>177</v>
      </c>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R146" s="9" t="s">
        <v>318</v>
      </c>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row>
    <row r="147" spans="1:264" x14ac:dyDescent="0.4">
      <c r="A147" s="8" t="s">
        <v>178</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row>
    <row r="148" spans="1:264" x14ac:dyDescent="0.4">
      <c r="A148" s="8" t="s">
        <v>179</v>
      </c>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R148" s="9" t="s">
        <v>315</v>
      </c>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row>
    <row r="149" spans="1:264" x14ac:dyDescent="0.4">
      <c r="A149" s="8" t="s">
        <v>180</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row>
    <row r="150" spans="1:264" x14ac:dyDescent="0.4">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R150" s="9" t="s">
        <v>319</v>
      </c>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row>
    <row r="151" spans="1:264" x14ac:dyDescent="0.4">
      <c r="A151" s="8" t="s">
        <v>181</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row>
    <row r="152" spans="1:264" x14ac:dyDescent="0.4">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R152" s="9" t="s">
        <v>315</v>
      </c>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row>
    <row r="153" spans="1:264" x14ac:dyDescent="0.4">
      <c r="A153" s="8" t="s">
        <v>182</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row>
    <row r="154" spans="1:264" x14ac:dyDescent="0.4">
      <c r="A154" s="8" t="s">
        <v>183</v>
      </c>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R154" s="9" t="s">
        <v>320</v>
      </c>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row>
    <row r="155" spans="1:264" x14ac:dyDescent="0.4">
      <c r="A155" s="8" t="s">
        <v>160</v>
      </c>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R155" s="9" t="s">
        <v>315</v>
      </c>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row>
    <row r="156" spans="1:264" x14ac:dyDescent="0.4">
      <c r="A156" s="8" t="s">
        <v>184</v>
      </c>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R156" s="9" t="s">
        <v>321</v>
      </c>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row>
    <row r="157" spans="1:264" x14ac:dyDescent="0.4">
      <c r="A157" s="8" t="s">
        <v>185</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R157" s="9" t="s">
        <v>62</v>
      </c>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row>
    <row r="158" spans="1:264" x14ac:dyDescent="0.4">
      <c r="A158" s="8" t="s">
        <v>186</v>
      </c>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R158" s="9" t="s">
        <v>315</v>
      </c>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row>
    <row r="159" spans="1:264" x14ac:dyDescent="0.4">
      <c r="A159" s="8" t="s">
        <v>187</v>
      </c>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R159" s="9" t="s">
        <v>322</v>
      </c>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row>
    <row r="160" spans="1:264" x14ac:dyDescent="0.4">
      <c r="A160" s="8" t="s">
        <v>165</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R160" s="9" t="s">
        <v>323</v>
      </c>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row>
    <row r="161" spans="1:264" x14ac:dyDescent="0.4">
      <c r="A161" s="8" t="s">
        <v>188</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row>
    <row r="162" spans="1:264" x14ac:dyDescent="0.4">
      <c r="A162" s="8" t="s">
        <v>189</v>
      </c>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R162" s="9" t="s">
        <v>324</v>
      </c>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row>
    <row r="163" spans="1:264" x14ac:dyDescent="0.4">
      <c r="A163" s="8" t="s">
        <v>190</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row>
    <row r="164" spans="1:264" x14ac:dyDescent="0.4">
      <c r="A164" s="8" t="s">
        <v>191</v>
      </c>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R164" s="9" t="s">
        <v>325</v>
      </c>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c r="JA164" s="9"/>
      <c r="JB164" s="9"/>
      <c r="JC164" s="9"/>
      <c r="JD164" s="9"/>
    </row>
    <row r="165" spans="1:264" x14ac:dyDescent="0.4">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R165" s="9" t="s">
        <v>326</v>
      </c>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row>
    <row r="166" spans="1:264" x14ac:dyDescent="0.4">
      <c r="A166" s="8" t="s">
        <v>192</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R166" s="9" t="s">
        <v>327</v>
      </c>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row>
    <row r="167" spans="1:264" x14ac:dyDescent="0.4">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R167" s="9" t="s">
        <v>328</v>
      </c>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row>
    <row r="168" spans="1:264" x14ac:dyDescent="0.4">
      <c r="A168" s="8" t="s">
        <v>193</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R168" s="9" t="s">
        <v>329</v>
      </c>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c r="JA168" s="9"/>
      <c r="JB168" s="9"/>
      <c r="JC168" s="9"/>
      <c r="JD168" s="9"/>
    </row>
    <row r="169" spans="1:264" x14ac:dyDescent="0.4">
      <c r="A169" s="8" t="s">
        <v>194</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R169" s="9" t="s">
        <v>330</v>
      </c>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K169" s="9"/>
      <c r="HL169" s="9"/>
      <c r="HM169" s="9"/>
      <c r="HN169" s="9"/>
      <c r="HO169" s="9"/>
      <c r="HP169" s="9"/>
      <c r="HQ169" s="9"/>
      <c r="HR169" s="9"/>
      <c r="HS169" s="9"/>
      <c r="HT169" s="9"/>
      <c r="HU169" s="9"/>
      <c r="HV169" s="9"/>
      <c r="HW169" s="9"/>
      <c r="HX169" s="9"/>
      <c r="HY169" s="9"/>
      <c r="HZ169" s="9"/>
      <c r="IA169" s="9"/>
      <c r="IB169" s="9"/>
      <c r="IC169" s="9"/>
      <c r="ID169" s="9"/>
      <c r="IE169" s="9"/>
      <c r="IF169" s="9"/>
      <c r="IG169" s="9"/>
      <c r="IH169" s="9"/>
      <c r="II169" s="9"/>
      <c r="IJ169" s="9"/>
      <c r="IK169" s="9"/>
      <c r="IL169" s="9"/>
      <c r="IM169" s="9"/>
      <c r="IN169" s="9"/>
      <c r="IO169" s="9"/>
      <c r="IP169" s="9"/>
      <c r="IQ169" s="9"/>
      <c r="IR169" s="9"/>
      <c r="IS169" s="9"/>
      <c r="IT169" s="9"/>
      <c r="IU169" s="9"/>
      <c r="IV169" s="9"/>
      <c r="IW169" s="9"/>
      <c r="IX169" s="9"/>
      <c r="IY169" s="9"/>
      <c r="IZ169" s="9"/>
      <c r="JA169" s="9"/>
      <c r="JB169" s="9"/>
      <c r="JC169" s="9"/>
      <c r="JD169" s="9"/>
    </row>
    <row r="170" spans="1:264" x14ac:dyDescent="0.4">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R170" s="9" t="s">
        <v>331</v>
      </c>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c r="JA170" s="9"/>
      <c r="JB170" s="9"/>
      <c r="JC170" s="9"/>
      <c r="JD170" s="9"/>
    </row>
    <row r="171" spans="1:264" x14ac:dyDescent="0.4">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R171" s="9" t="s">
        <v>332</v>
      </c>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9"/>
      <c r="IJ171" s="9"/>
      <c r="IK171" s="9"/>
      <c r="IL171" s="9"/>
      <c r="IM171" s="9"/>
      <c r="IN171" s="9"/>
      <c r="IO171" s="9"/>
      <c r="IP171" s="9"/>
      <c r="IQ171" s="9"/>
      <c r="IR171" s="9"/>
      <c r="IS171" s="9"/>
      <c r="IT171" s="9"/>
      <c r="IU171" s="9"/>
      <c r="IV171" s="9"/>
      <c r="IW171" s="9"/>
      <c r="IX171" s="9"/>
      <c r="IY171" s="9"/>
      <c r="IZ171" s="9"/>
      <c r="JA171" s="9"/>
      <c r="JB171" s="9"/>
      <c r="JC171" s="9"/>
      <c r="JD171" s="9"/>
    </row>
    <row r="172" spans="1:264" x14ac:dyDescent="0.4">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9"/>
      <c r="IJ172" s="9"/>
      <c r="IK172" s="9"/>
      <c r="IL172" s="9"/>
      <c r="IM172" s="9"/>
      <c r="IN172" s="9"/>
      <c r="IO172" s="9"/>
      <c r="IP172" s="9"/>
      <c r="IQ172" s="9"/>
      <c r="IR172" s="9"/>
      <c r="IS172" s="9"/>
      <c r="IT172" s="9"/>
      <c r="IU172" s="9"/>
      <c r="IV172" s="9"/>
      <c r="IW172" s="9"/>
      <c r="IX172" s="9"/>
      <c r="IY172" s="9"/>
      <c r="IZ172" s="9"/>
      <c r="JA172" s="9"/>
      <c r="JB172" s="9"/>
      <c r="JC172" s="9"/>
      <c r="JD172" s="9"/>
    </row>
    <row r="173" spans="1:264" x14ac:dyDescent="0.4">
      <c r="AR173" s="9" t="s">
        <v>333</v>
      </c>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K173" s="9"/>
      <c r="HL173" s="9"/>
      <c r="HM173" s="9"/>
      <c r="HN173" s="9"/>
      <c r="HO173" s="9"/>
      <c r="HP173" s="9"/>
      <c r="HQ173" s="9"/>
      <c r="HR173" s="9"/>
      <c r="HS173" s="9"/>
      <c r="HT173" s="9"/>
      <c r="HU173" s="9"/>
      <c r="HV173" s="9"/>
      <c r="HW173" s="9"/>
      <c r="HX173" s="9"/>
      <c r="HY173" s="9"/>
      <c r="HZ173" s="9"/>
      <c r="IA173" s="9"/>
      <c r="IB173" s="9"/>
      <c r="IC173" s="9"/>
      <c r="ID173" s="9"/>
      <c r="IE173" s="9"/>
      <c r="IF173" s="9"/>
      <c r="IG173" s="9"/>
      <c r="IH173" s="9"/>
      <c r="II173" s="9"/>
      <c r="IJ173" s="9"/>
      <c r="IK173" s="9"/>
      <c r="IL173" s="9"/>
      <c r="IM173" s="9"/>
      <c r="IN173" s="9"/>
      <c r="IO173" s="9"/>
      <c r="IP173" s="9"/>
      <c r="IQ173" s="9"/>
      <c r="IR173" s="9"/>
      <c r="IS173" s="9"/>
      <c r="IT173" s="9"/>
      <c r="IU173" s="9"/>
      <c r="IV173" s="9"/>
      <c r="IW173" s="9"/>
      <c r="IX173" s="9"/>
      <c r="IY173" s="9"/>
      <c r="IZ173" s="9"/>
      <c r="JA173" s="9"/>
      <c r="JB173" s="9"/>
      <c r="JC173" s="9"/>
      <c r="JD173" s="9"/>
    </row>
    <row r="174" spans="1:264" x14ac:dyDescent="0.4">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c r="HA174" s="9"/>
      <c r="HB174" s="9"/>
      <c r="HC174" s="9"/>
      <c r="HD174" s="9"/>
      <c r="HE174" s="9"/>
      <c r="HF174" s="9"/>
      <c r="HG174" s="9"/>
      <c r="HH174" s="9"/>
      <c r="HI174" s="9"/>
      <c r="HJ174" s="9"/>
      <c r="HK174" s="9"/>
      <c r="HL174" s="9"/>
      <c r="HM174" s="9"/>
      <c r="HN174" s="9"/>
      <c r="HO174" s="9"/>
      <c r="HP174" s="9"/>
      <c r="HQ174" s="9"/>
      <c r="HR174" s="9"/>
      <c r="HS174" s="9"/>
      <c r="HT174" s="9"/>
      <c r="HU174" s="9"/>
      <c r="HV174" s="9"/>
      <c r="HW174" s="9"/>
      <c r="HX174" s="9"/>
      <c r="HY174" s="9"/>
      <c r="HZ174" s="9"/>
      <c r="IA174" s="9"/>
      <c r="IB174" s="9"/>
      <c r="IC174" s="9"/>
      <c r="ID174" s="9"/>
      <c r="IE174" s="9"/>
      <c r="IF174" s="9"/>
      <c r="IG174" s="9"/>
      <c r="IH174" s="9"/>
      <c r="II174" s="9"/>
      <c r="IJ174" s="9"/>
      <c r="IK174" s="9"/>
      <c r="IL174" s="9"/>
      <c r="IM174" s="9"/>
      <c r="IN174" s="9"/>
      <c r="IO174" s="9"/>
      <c r="IP174" s="9"/>
      <c r="IQ174" s="9"/>
      <c r="IR174" s="9"/>
      <c r="IS174" s="9"/>
      <c r="IT174" s="9"/>
      <c r="IU174" s="9"/>
      <c r="IV174" s="9"/>
      <c r="IW174" s="9"/>
      <c r="IX174" s="9"/>
      <c r="IY174" s="9"/>
      <c r="IZ174" s="9"/>
      <c r="JA174" s="9"/>
      <c r="JB174" s="9"/>
      <c r="JC174" s="9"/>
      <c r="JD174" s="9"/>
    </row>
    <row r="175" spans="1:264" x14ac:dyDescent="0.4">
      <c r="AR175" s="9" t="s">
        <v>334</v>
      </c>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c r="HA175" s="9"/>
      <c r="HB175" s="9"/>
      <c r="HC175" s="9"/>
      <c r="HD175" s="9"/>
      <c r="HE175" s="9"/>
      <c r="HF175" s="9"/>
      <c r="HG175" s="9"/>
      <c r="HH175" s="9"/>
      <c r="HI175" s="9"/>
      <c r="HJ175" s="9"/>
      <c r="HK175" s="9"/>
      <c r="HL175" s="9"/>
      <c r="HM175" s="9"/>
      <c r="HN175" s="9"/>
      <c r="HO175" s="9"/>
      <c r="HP175" s="9"/>
      <c r="HQ175" s="9"/>
      <c r="HR175" s="9"/>
      <c r="HS175" s="9"/>
      <c r="HT175" s="9"/>
      <c r="HU175" s="9"/>
      <c r="HV175" s="9"/>
      <c r="HW175" s="9"/>
      <c r="HX175" s="9"/>
      <c r="HY175" s="9"/>
      <c r="HZ175" s="9"/>
      <c r="IA175" s="9"/>
      <c r="IB175" s="9"/>
      <c r="IC175" s="9"/>
      <c r="ID175" s="9"/>
      <c r="IE175" s="9"/>
      <c r="IF175" s="9"/>
      <c r="IG175" s="9"/>
      <c r="IH175" s="9"/>
      <c r="II175" s="9"/>
      <c r="IJ175" s="9"/>
      <c r="IK175" s="9"/>
      <c r="IL175" s="9"/>
      <c r="IM175" s="9"/>
      <c r="IN175" s="9"/>
      <c r="IO175" s="9"/>
      <c r="IP175" s="9"/>
      <c r="IQ175" s="9"/>
      <c r="IR175" s="9"/>
      <c r="IS175" s="9"/>
      <c r="IT175" s="9"/>
      <c r="IU175" s="9"/>
      <c r="IV175" s="9"/>
      <c r="IW175" s="9"/>
      <c r="IX175" s="9"/>
      <c r="IY175" s="9"/>
      <c r="IZ175" s="9"/>
      <c r="JA175" s="9"/>
      <c r="JB175" s="9"/>
      <c r="JC175" s="9"/>
      <c r="JD175" s="9"/>
    </row>
    <row r="176" spans="1:264" x14ac:dyDescent="0.4">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c r="HA176" s="9"/>
      <c r="HB176" s="9"/>
      <c r="HC176" s="9"/>
      <c r="HD176" s="9"/>
      <c r="HE176" s="9"/>
      <c r="HF176" s="9"/>
      <c r="HG176" s="9"/>
      <c r="HH176" s="9"/>
      <c r="HI176" s="9"/>
      <c r="HJ176" s="9"/>
      <c r="HK176" s="9"/>
      <c r="HL176" s="9"/>
      <c r="HM176" s="9"/>
      <c r="HN176" s="9"/>
      <c r="HO176" s="9"/>
      <c r="HP176" s="9"/>
      <c r="HQ176" s="9"/>
      <c r="HR176" s="9"/>
      <c r="HS176" s="9"/>
      <c r="HT176" s="9"/>
      <c r="HU176" s="9"/>
      <c r="HV176" s="9"/>
      <c r="HW176" s="9"/>
      <c r="HX176" s="9"/>
      <c r="HY176" s="9"/>
      <c r="HZ176" s="9"/>
      <c r="IA176" s="9"/>
      <c r="IB176" s="9"/>
      <c r="IC176" s="9"/>
      <c r="ID176" s="9"/>
      <c r="IE176" s="9"/>
      <c r="IF176" s="9"/>
      <c r="IG176" s="9"/>
      <c r="IH176" s="9"/>
      <c r="II176" s="9"/>
      <c r="IJ176" s="9"/>
      <c r="IK176" s="9"/>
      <c r="IL176" s="9"/>
      <c r="IM176" s="9"/>
      <c r="IN176" s="9"/>
      <c r="IO176" s="9"/>
      <c r="IP176" s="9"/>
      <c r="IQ176" s="9"/>
      <c r="IR176" s="9"/>
      <c r="IS176" s="9"/>
      <c r="IT176" s="9"/>
      <c r="IU176" s="9"/>
      <c r="IV176" s="9"/>
      <c r="IW176" s="9"/>
      <c r="IX176" s="9"/>
      <c r="IY176" s="9"/>
      <c r="IZ176" s="9"/>
      <c r="JA176" s="9"/>
      <c r="JB176" s="9"/>
      <c r="JC176" s="9"/>
      <c r="JD176" s="9"/>
    </row>
    <row r="177" spans="44:264" x14ac:dyDescent="0.4">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c r="HA177" s="9"/>
      <c r="HB177" s="9"/>
      <c r="HC177" s="9"/>
      <c r="HD177" s="9"/>
      <c r="HE177" s="9"/>
      <c r="HF177" s="9"/>
      <c r="HG177" s="9"/>
      <c r="HH177" s="9"/>
      <c r="HI177" s="9"/>
      <c r="HJ177" s="9"/>
      <c r="HK177" s="9"/>
      <c r="HL177" s="9"/>
      <c r="HM177" s="9"/>
      <c r="HN177" s="9"/>
      <c r="HO177" s="9"/>
      <c r="HP177" s="9"/>
      <c r="HQ177" s="9"/>
      <c r="HR177" s="9"/>
      <c r="HS177" s="9"/>
      <c r="HT177" s="9"/>
      <c r="HU177" s="9"/>
      <c r="HV177" s="9"/>
      <c r="HW177" s="9"/>
      <c r="HX177" s="9"/>
      <c r="HY177" s="9"/>
      <c r="HZ177" s="9"/>
      <c r="IA177" s="9"/>
      <c r="IB177" s="9"/>
      <c r="IC177" s="9"/>
      <c r="ID177" s="9"/>
      <c r="IE177" s="9"/>
      <c r="IF177" s="9"/>
      <c r="IG177" s="9"/>
      <c r="IH177" s="9"/>
      <c r="II177" s="9"/>
      <c r="IJ177" s="9"/>
      <c r="IK177" s="9"/>
      <c r="IL177" s="9"/>
      <c r="IM177" s="9"/>
      <c r="IN177" s="9"/>
      <c r="IO177" s="9"/>
      <c r="IP177" s="9"/>
      <c r="IQ177" s="9"/>
      <c r="IR177" s="9"/>
      <c r="IS177" s="9"/>
      <c r="IT177" s="9"/>
      <c r="IU177" s="9"/>
      <c r="IV177" s="9"/>
      <c r="IW177" s="9"/>
      <c r="IX177" s="9"/>
      <c r="IY177" s="9"/>
      <c r="IZ177" s="9"/>
      <c r="JA177" s="9"/>
      <c r="JB177" s="9"/>
      <c r="JC177" s="9"/>
      <c r="JD177" s="9"/>
    </row>
    <row r="178" spans="44:264" x14ac:dyDescent="0.4">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c r="HA178" s="9"/>
      <c r="HB178" s="9"/>
      <c r="HC178" s="9"/>
      <c r="HD178" s="9"/>
      <c r="HE178" s="9"/>
      <c r="HF178" s="9"/>
      <c r="HG178" s="9"/>
      <c r="HH178" s="9"/>
      <c r="HI178" s="9"/>
      <c r="HJ178" s="9"/>
      <c r="HK178" s="9"/>
      <c r="HL178" s="9"/>
      <c r="HM178" s="9"/>
      <c r="HN178" s="9"/>
      <c r="HO178" s="9"/>
      <c r="HP178" s="9"/>
      <c r="HQ178" s="9"/>
      <c r="HR178" s="9"/>
      <c r="HS178" s="9"/>
      <c r="HT178" s="9"/>
      <c r="HU178" s="9"/>
      <c r="HV178" s="9"/>
      <c r="HW178" s="9"/>
      <c r="HX178" s="9"/>
      <c r="HY178" s="9"/>
      <c r="HZ178" s="9"/>
      <c r="IA178" s="9"/>
      <c r="IB178" s="9"/>
      <c r="IC178" s="9"/>
      <c r="ID178" s="9"/>
      <c r="IE178" s="9"/>
      <c r="IF178" s="9"/>
      <c r="IG178" s="9"/>
      <c r="IH178" s="9"/>
      <c r="II178" s="9"/>
      <c r="IJ178" s="9"/>
      <c r="IK178" s="9"/>
      <c r="IL178" s="9"/>
      <c r="IM178" s="9"/>
      <c r="IN178" s="9"/>
      <c r="IO178" s="9"/>
      <c r="IP178" s="9"/>
      <c r="IQ178" s="9"/>
      <c r="IR178" s="9"/>
      <c r="IS178" s="9"/>
      <c r="IT178" s="9"/>
      <c r="IU178" s="9"/>
      <c r="IV178" s="9"/>
      <c r="IW178" s="9"/>
      <c r="IX178" s="9"/>
      <c r="IY178" s="9"/>
      <c r="IZ178" s="9"/>
      <c r="JA178" s="9"/>
      <c r="JB178" s="9"/>
      <c r="JC178" s="9"/>
      <c r="JD178" s="9"/>
    </row>
    <row r="179" spans="44:264" x14ac:dyDescent="0.4">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c r="HA179" s="9"/>
      <c r="HB179" s="9"/>
      <c r="HC179" s="9"/>
      <c r="HD179" s="9"/>
      <c r="HE179" s="9"/>
      <c r="HF179" s="9"/>
      <c r="HG179" s="9"/>
      <c r="HH179" s="9"/>
      <c r="HI179" s="9"/>
      <c r="HJ179" s="9"/>
      <c r="HK179" s="9"/>
      <c r="HL179" s="9"/>
      <c r="HM179" s="9"/>
      <c r="HN179" s="9"/>
      <c r="HO179" s="9"/>
      <c r="HP179" s="9"/>
      <c r="HQ179" s="9"/>
      <c r="HR179" s="9"/>
      <c r="HS179" s="9"/>
      <c r="HT179" s="9"/>
      <c r="HU179" s="9"/>
      <c r="HV179" s="9"/>
      <c r="HW179" s="9"/>
      <c r="HX179" s="9"/>
      <c r="HY179" s="9"/>
      <c r="HZ179" s="9"/>
      <c r="IA179" s="9"/>
      <c r="IB179" s="9"/>
      <c r="IC179" s="9"/>
      <c r="ID179" s="9"/>
      <c r="IE179" s="9"/>
      <c r="IF179" s="9"/>
      <c r="IG179" s="9"/>
      <c r="IH179" s="9"/>
      <c r="II179" s="9"/>
      <c r="IJ179" s="9"/>
      <c r="IK179" s="9"/>
      <c r="IL179" s="9"/>
      <c r="IM179" s="9"/>
      <c r="IN179" s="9"/>
      <c r="IO179" s="9"/>
      <c r="IP179" s="9"/>
      <c r="IQ179" s="9"/>
      <c r="IR179" s="9"/>
      <c r="IS179" s="9"/>
      <c r="IT179" s="9"/>
      <c r="IU179" s="9"/>
      <c r="IV179" s="9"/>
      <c r="IW179" s="9"/>
      <c r="IX179" s="9"/>
      <c r="IY179" s="9"/>
      <c r="IZ179" s="9"/>
      <c r="JA179" s="9"/>
      <c r="JB179" s="9"/>
      <c r="JC179" s="9"/>
      <c r="JD179" s="9"/>
    </row>
    <row r="180" spans="44:264" x14ac:dyDescent="0.4">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c r="FZ180" s="9"/>
      <c r="GA180" s="9"/>
      <c r="GB180" s="9"/>
      <c r="GC180" s="9"/>
      <c r="GD180" s="9"/>
      <c r="GE180" s="9"/>
      <c r="GF180" s="9"/>
      <c r="GG180" s="9"/>
      <c r="GH180" s="9"/>
      <c r="GI180" s="9"/>
      <c r="GJ180" s="9"/>
      <c r="GK180" s="9"/>
      <c r="GL180" s="9"/>
      <c r="GM180" s="9"/>
      <c r="GN180" s="9"/>
      <c r="GO180" s="9"/>
      <c r="GP180" s="9"/>
      <c r="GQ180" s="9"/>
      <c r="GR180" s="9"/>
      <c r="GS180" s="9"/>
      <c r="GT180" s="9"/>
      <c r="GU180" s="9"/>
      <c r="GV180" s="9"/>
      <c r="GW180" s="9"/>
      <c r="GX180" s="9"/>
      <c r="GY180" s="9"/>
      <c r="GZ180" s="9"/>
      <c r="HA180" s="9"/>
      <c r="HB180" s="9"/>
      <c r="HC180" s="9"/>
      <c r="HD180" s="9"/>
      <c r="HE180" s="9"/>
      <c r="HF180" s="9"/>
      <c r="HG180" s="9"/>
      <c r="HH180" s="9"/>
      <c r="HI180" s="9"/>
      <c r="HJ180" s="9"/>
      <c r="HK180" s="9"/>
      <c r="HL180" s="9"/>
      <c r="HM180" s="9"/>
      <c r="HN180" s="9"/>
      <c r="HO180" s="9"/>
      <c r="HP180" s="9"/>
      <c r="HQ180" s="9"/>
      <c r="HR180" s="9"/>
      <c r="HS180" s="9"/>
      <c r="HT180" s="9"/>
      <c r="HU180" s="9"/>
      <c r="HV180" s="9"/>
      <c r="HW180" s="9"/>
      <c r="HX180" s="9"/>
      <c r="HY180" s="9"/>
      <c r="HZ180" s="9"/>
      <c r="IA180" s="9"/>
      <c r="IB180" s="9"/>
      <c r="IC180" s="9"/>
      <c r="ID180" s="9"/>
      <c r="IE180" s="9"/>
      <c r="IF180" s="9"/>
      <c r="IG180" s="9"/>
      <c r="IH180" s="9"/>
      <c r="II180" s="9"/>
      <c r="IJ180" s="9"/>
      <c r="IK180" s="9"/>
      <c r="IL180" s="9"/>
      <c r="IM180" s="9"/>
      <c r="IN180" s="9"/>
      <c r="IO180" s="9"/>
      <c r="IP180" s="9"/>
      <c r="IQ180" s="9"/>
      <c r="IR180" s="9"/>
      <c r="IS180" s="9"/>
      <c r="IT180" s="9"/>
      <c r="IU180" s="9"/>
      <c r="IV180" s="9"/>
      <c r="IW180" s="9"/>
      <c r="IX180" s="9"/>
      <c r="IY180" s="9"/>
      <c r="IZ180" s="9"/>
      <c r="JA180" s="9"/>
      <c r="JB180" s="9"/>
      <c r="JC180" s="9"/>
      <c r="JD180" s="9"/>
    </row>
    <row r="181" spans="44:264" x14ac:dyDescent="0.4">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c r="HA181" s="9"/>
      <c r="HB181" s="9"/>
      <c r="HC181" s="9"/>
      <c r="HD181" s="9"/>
      <c r="HE181" s="9"/>
      <c r="HF181" s="9"/>
      <c r="HG181" s="9"/>
      <c r="HH181" s="9"/>
      <c r="HI181" s="9"/>
      <c r="HJ181" s="9"/>
      <c r="HK181" s="9"/>
      <c r="HL181" s="9"/>
      <c r="HM181" s="9"/>
      <c r="HN181" s="9"/>
      <c r="HO181" s="9"/>
      <c r="HP181" s="9"/>
      <c r="HQ181" s="9"/>
      <c r="HR181" s="9"/>
      <c r="HS181" s="9"/>
      <c r="HT181" s="9"/>
      <c r="HU181" s="9"/>
      <c r="HV181" s="9"/>
      <c r="HW181" s="9"/>
      <c r="HX181" s="9"/>
      <c r="HY181" s="9"/>
      <c r="HZ181" s="9"/>
      <c r="IA181" s="9"/>
      <c r="IB181" s="9"/>
      <c r="IC181" s="9"/>
      <c r="ID181" s="9"/>
      <c r="IE181" s="9"/>
      <c r="IF181" s="9"/>
      <c r="IG181" s="9"/>
      <c r="IH181" s="9"/>
      <c r="II181" s="9"/>
      <c r="IJ181" s="9"/>
      <c r="IK181" s="9"/>
      <c r="IL181" s="9"/>
      <c r="IM181" s="9"/>
      <c r="IN181" s="9"/>
      <c r="IO181" s="9"/>
      <c r="IP181" s="9"/>
      <c r="IQ181" s="9"/>
      <c r="IR181" s="9"/>
      <c r="IS181" s="9"/>
      <c r="IT181" s="9"/>
      <c r="IU181" s="9"/>
      <c r="IV181" s="9"/>
      <c r="IW181" s="9"/>
      <c r="IX181" s="9"/>
      <c r="IY181" s="9"/>
      <c r="IZ181" s="9"/>
      <c r="JA181" s="9"/>
      <c r="JB181" s="9"/>
      <c r="JC181" s="9"/>
      <c r="JD181" s="9"/>
    </row>
    <row r="182" spans="44:264" x14ac:dyDescent="0.4">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9"/>
      <c r="IJ182" s="9"/>
      <c r="IK182" s="9"/>
      <c r="IL182" s="9"/>
      <c r="IM182" s="9"/>
      <c r="IN182" s="9"/>
      <c r="IO182" s="9"/>
      <c r="IP182" s="9"/>
      <c r="IQ182" s="9"/>
      <c r="IR182" s="9"/>
      <c r="IS182" s="9"/>
      <c r="IT182" s="9"/>
      <c r="IU182" s="9"/>
      <c r="IV182" s="9"/>
      <c r="IW182" s="9"/>
      <c r="IX182" s="9"/>
      <c r="IY182" s="9"/>
      <c r="IZ182" s="9"/>
      <c r="JA182" s="9"/>
      <c r="JB182" s="9"/>
      <c r="JC182" s="9"/>
      <c r="JD182" s="9"/>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llama3.1 8B instruct  fp16</vt:lpstr>
      <vt:lpstr>llama3.3 70B Q6</vt:lpstr>
      <vt:lpstr>llama4 109B 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CHENGTING TSAI</dc:creator>
  <cp:lastModifiedBy>CHENGTING TSAI</cp:lastModifiedBy>
  <dcterms:created xsi:type="dcterms:W3CDTF">2025-07-29T20:51:19Z</dcterms:created>
  <dcterms:modified xsi:type="dcterms:W3CDTF">2025-07-30T00:25:19Z</dcterms:modified>
</cp:coreProperties>
</file>